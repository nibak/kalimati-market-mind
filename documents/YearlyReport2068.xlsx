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<sst xmlns="http://schemas.openxmlformats.org/spreadsheetml/2006/main" count="455" uniqueCount="140">
  <si>
    <t>Commodity</t>
  </si>
  <si>
    <t>Unit</t>
  </si>
  <si>
    <t>1 - 2068</t>
  </si>
  <si>
    <t>02 - 2068</t>
  </si>
  <si>
    <t>3 - 2068</t>
  </si>
  <si>
    <t>04 - 2068</t>
  </si>
  <si>
    <t>5 - 2068</t>
  </si>
  <si>
    <t>6 - 2068</t>
  </si>
  <si>
    <t>7 - 2068</t>
  </si>
  <si>
    <t>8 - 2068</t>
  </si>
  <si>
    <t>9 - 2068</t>
  </si>
  <si>
    <t>10 - 2068</t>
  </si>
  <si>
    <t>11 - 2068</t>
  </si>
  <si>
    <t>12 - 2068</t>
  </si>
  <si>
    <t>Annual</t>
  </si>
  <si>
    <t>Min</t>
  </si>
  <si>
    <t>Max</t>
  </si>
  <si>
    <t>Avg</t>
  </si>
  <si>
    <t>Tomato Big</t>
  </si>
  <si>
    <t>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</si>
  <si>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</si>
  <si>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</si>
  <si>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</si>
  <si>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</si>
  <si>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</si>
  <si>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</si>
  <si>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</si>
  <si>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</si>
  <si>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</si>
  <si>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</si>
  <si>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</si>
  <si>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</si>
  <si>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</si>
  <si>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</si>
  <si>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</si>
  <si>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</si>
  <si>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</si>
  <si>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</si>
  <si>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</si>
  <si>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</si>
  <si>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</si>
  <si>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</si>
  <si>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</si>
  <si>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</si>
  <si>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</si>
  <si>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</si>
  <si>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</si>
  <si>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</si>
  <si>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</si>
  <si>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</si>
  <si>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</si>
  <si>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</si>
  <si>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</si>
  <si>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</si>
  <si>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</si>
  <si>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</si>
  <si>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</si>
  <si>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</si>
  <si>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</si>
  <si>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</si>
  <si>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</si>
  <si>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</si>
  <si>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</si>
  <si>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</si>
  <si>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</si>
  <si>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</si>
  <si>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</si>
  <si>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</si>
  <si>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</si>
  <si>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</si>
  <si>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</si>
  <si>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</si>
  <si>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</si>
  <si>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</si>
  <si>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Tamarine</t>
  </si>
  <si>
    <t>Bamboo Shoot</t>
  </si>
  <si>
    <t>Tofu</t>
  </si>
  <si>
    <t>Apple</t>
  </si>
  <si>
    <t>Banana</t>
  </si>
  <si>
    <t>Doz</t>
  </si>
  <si>
    <t>Lime</t>
  </si>
  <si>
    <t>100 Pcs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</si>
  <si>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</si>
  <si>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</si>
  <si>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</si>
  <si>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</si>
  <si>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</si>
  <si>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</si>
  <si>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</si>
  <si>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</si>
  <si>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1 Pc</t>
  </si>
  <si>
    <t>Cucumber</t>
  </si>
  <si>
    <t>Jack Fruit</t>
  </si>
  <si>
    <t>Lemon</t>
  </si>
  <si>
    <t>Sweet Lime</t>
  </si>
  <si>
    <t>Pear</t>
  </si>
  <si>
    <t>Kinnow</t>
  </si>
  <si>
    <t>Papaya</t>
  </si>
  <si>
    <t>Guava</t>
  </si>
  <si>
    <t>Mombin</t>
  </si>
  <si>
    <t>Litchi</t>
  </si>
  <si>
    <t>Musk Melon</t>
  </si>
  <si>
    <t>Sugarcane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</si>
  <si>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</si>
  <si>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</si>
  <si>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</si>
  <si>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</si>
  <si>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</si>
  <si>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</si>
  <si>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</si>
  <si>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</si>
  <si>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</si>
  <si>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</si>
  <si>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Dry</t>
  </si>
  <si>
    <t>Fish Fresh</t>
  </si>
  <si>
    <t>Name/Month</t>
  </si>
  <si>
    <t>Total</t>
  </si>
  <si>
    <t>Strawberry</t>
  </si>
  <si>
    <t>Other</t>
  </si>
  <si>
    <t>Comodity</t>
  </si>
  <si>
    <t>Bhaktapur</t>
  </si>
  <si>
    <t>Chitawan</t>
  </si>
  <si>
    <t>Dhading</t>
  </si>
  <si>
    <t>Gorkha</t>
  </si>
  <si>
    <t>Jhapa</t>
  </si>
  <si>
    <t>Kathmandu</t>
  </si>
  <si>
    <t>Kavre</t>
  </si>
  <si>
    <t xml:space="preserve">Lalitpur  </t>
  </si>
  <si>
    <t>Lamjung</t>
  </si>
  <si>
    <t>Makwanpur</t>
  </si>
  <si>
    <t>Nuwakot</t>
  </si>
  <si>
    <t>Parsa</t>
  </si>
  <si>
    <t>Rautahat</t>
  </si>
  <si>
    <t>Sarlahi</t>
  </si>
  <si>
    <t>Sunsari</t>
  </si>
  <si>
    <t>Tanahun</t>
  </si>
  <si>
    <t>India</t>
  </si>
  <si>
    <t>Tibet</t>
  </si>
  <si>
    <t>Percent</t>
  </si>
  <si>
    <t>G/Total: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</si>
</sst>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Ramesh"/>
    </font>
    <font>
      <b/>
      <sz val="10.0"/>
      <color theme="1"/>
      <name val="Ramesh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left"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7" fillId="0" fontId="12" numFmtId="2" xfId="0" applyAlignment="1" applyBorder="1" applyFont="1" applyNumberFormat="1">
      <alignment shrinkToFit="0" vertical="bottom" wrapText="0"/>
    </xf>
    <xf borderId="8" fillId="0" fontId="12" numFmtId="2" xfId="0" applyAlignment="1" applyBorder="1" applyFont="1" applyNumberFormat="1">
      <alignment shrinkToFit="0" vertical="bottom" wrapText="0"/>
    </xf>
    <xf borderId="5" fillId="0" fontId="13" numFmtId="2" xfId="0" applyAlignment="1" applyBorder="1" applyFont="1" applyNumberFormat="1">
      <alignment shrinkToFit="0" vertical="bottom" wrapText="0"/>
    </xf>
    <xf borderId="1" fillId="0" fontId="13" numFmtId="2" xfId="0" applyAlignment="1" applyBorder="1" applyFont="1" applyNumberFormat="1">
      <alignment shrinkToFit="0" vertical="bottom" wrapText="0"/>
    </xf>
    <xf borderId="10" fillId="0" fontId="13" numFmtId="2" xfId="0" applyAlignment="1" applyBorder="1" applyFont="1" applyNumberFormat="1">
      <alignment shrinkToFit="0" vertical="bottom" wrapText="0"/>
    </xf>
    <xf borderId="7" fillId="0" fontId="14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vertical="bottom"/>
    </xf>
    <xf borderId="9" fillId="0" fontId="11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shrinkToFit="0" vertical="bottom" wrapText="0"/>
    </xf>
    <xf borderId="8" fillId="0" fontId="13" numFmtId="0" xfId="0" applyAlignment="1" applyBorder="1" applyFont="1">
      <alignment shrinkToFit="0" vertical="bottom" wrapText="0"/>
    </xf>
    <xf borderId="9" fillId="0" fontId="15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readingOrder="0" shrinkToFit="0" vertical="bottom" wrapText="0"/>
    </xf>
    <xf borderId="7" fillId="0" fontId="11" numFmtId="0" xfId="0" applyAlignment="1" applyBorder="1" applyFont="1">
      <alignment horizontal="center" shrinkToFit="0" vertical="center" wrapText="0"/>
    </xf>
    <xf borderId="7" fillId="3" fontId="11" numFmtId="0" xfId="0" applyAlignment="1" applyBorder="1" applyFill="1" applyFont="1">
      <alignment horizontal="center" shrinkToFit="0" vertical="center" wrapText="0"/>
    </xf>
    <xf borderId="7" fillId="0" fontId="15" numFmtId="0" xfId="0" applyAlignment="1" applyBorder="1" applyFont="1">
      <alignment horizontal="center" shrinkToFit="0" vertical="center" wrapText="0"/>
    </xf>
    <xf borderId="13" fillId="0" fontId="12" numFmtId="0" xfId="0" applyAlignment="1" applyBorder="1" applyFont="1">
      <alignment shrinkToFit="0" vertical="bottom" wrapText="0"/>
    </xf>
    <xf borderId="7" fillId="0" fontId="12" numFmtId="1" xfId="0" applyAlignment="1" applyBorder="1" applyFont="1" applyNumberFormat="1">
      <alignment shrinkToFit="0" vertical="bottom" wrapText="0"/>
    </xf>
    <xf borderId="7" fillId="0" fontId="16" numFmtId="1" xfId="0" applyAlignment="1" applyBorder="1" applyFont="1" applyNumberFormat="1">
      <alignment shrinkToFit="0" vertical="bottom" wrapText="0"/>
    </xf>
    <xf borderId="7" fillId="3" fontId="16" numFmtId="1" xfId="0" applyAlignment="1" applyBorder="1" applyFont="1" applyNumberFormat="1">
      <alignment shrinkToFit="0" vertical="bottom" wrapText="0"/>
    </xf>
    <xf borderId="7" fillId="0" fontId="17" numFmtId="1" xfId="0" applyAlignment="1" applyBorder="1" applyFont="1" applyNumberFormat="1">
      <alignment shrinkToFit="0" vertical="bottom" wrapText="0"/>
    </xf>
    <xf borderId="7" fillId="0" fontId="16" numFmtId="2" xfId="0" applyAlignment="1" applyBorder="1" applyFont="1" applyNumberFormat="1">
      <alignment shrinkToFit="0" vertical="bottom" wrapText="0"/>
    </xf>
    <xf borderId="14" fillId="3" fontId="12" numFmtId="0" xfId="0" applyAlignment="1" applyBorder="1" applyFont="1">
      <alignment shrinkToFit="0" vertical="bottom" wrapText="0"/>
    </xf>
    <xf borderId="9" fillId="3" fontId="11" numFmtId="0" xfId="0" applyAlignment="1" applyBorder="1" applyFont="1">
      <alignment shrinkToFit="0" vertical="bottom" wrapText="0"/>
    </xf>
    <xf borderId="7" fillId="3" fontId="12" numFmtId="1" xfId="0" applyAlignment="1" applyBorder="1" applyFont="1" applyNumberFormat="1">
      <alignment shrinkToFit="0" vertical="bottom" wrapText="0"/>
    </xf>
    <xf borderId="7" fillId="3" fontId="17" numFmtId="1" xfId="0" applyAlignment="1" applyBorder="1" applyFont="1" applyNumberFormat="1">
      <alignment shrinkToFit="0" vertical="bottom" wrapText="0"/>
    </xf>
    <xf borderId="15" fillId="3" fontId="11" numFmtId="0" xfId="0" applyAlignment="1" applyBorder="1" applyFon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7" fillId="0" fontId="11" numFmtId="0" xfId="0" applyAlignment="1" applyBorder="1" applyFont="1">
      <alignment shrinkToFit="0" vertical="bottom" wrapText="0"/>
    </xf>
    <xf borderId="7" fillId="0" fontId="13" numFmtId="1" xfId="0" applyAlignment="1" applyBorder="1" applyFont="1" applyNumberFormat="1">
      <alignment shrinkToFit="0" vertical="bottom" wrapText="0"/>
    </xf>
    <xf borderId="7" fillId="3" fontId="16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7.88"/>
    <col customWidth="1" min="3" max="3" width="8.0"/>
    <col customWidth="1" min="4" max="4" width="8.25"/>
    <col customWidth="1" min="5" max="5" width="8.38"/>
    <col customWidth="1" min="6" max="6" width="8.0"/>
    <col customWidth="1" min="7" max="7" width="8.13"/>
    <col customWidth="1" min="8" max="8" width="7.88"/>
    <col customWidth="1" min="9" max="10" width="8.0"/>
    <col customWidth="1" min="11" max="11" width="7.88"/>
    <col customWidth="1" min="12" max="12" width="8.0"/>
    <col customWidth="1" min="13" max="13" width="8.25"/>
    <col customWidth="1" min="14" max="14" width="8.0"/>
    <col customWidth="1" min="15" max="15" width="7.88"/>
    <col customWidth="1" min="16" max="16" width="8.25"/>
    <col customWidth="1" min="17" max="17" width="7.88"/>
    <col customWidth="1" min="18" max="18" width="8.0"/>
    <col customWidth="1" min="19" max="19" width="8.25"/>
    <col customWidth="1" min="20" max="20" width="7.88"/>
    <col customWidth="1" min="21" max="21" width="8.13"/>
    <col customWidth="1" min="22" max="22" width="9.13"/>
    <col customWidth="1" min="23" max="23" width="8.0"/>
    <col customWidth="1" min="24" max="25" width="8.13"/>
    <col customWidth="1" min="26" max="26" width="8.0"/>
    <col customWidth="1" min="27" max="27" width="8.13"/>
    <col customWidth="1" min="28" max="29" width="8.0"/>
    <col customWidth="1" min="30" max="30" width="8.13"/>
    <col customWidth="1" min="31" max="31" width="8.25"/>
    <col customWidth="1" min="32" max="32" width="7.75"/>
    <col customWidth="1" min="33" max="33" width="8.0"/>
    <col customWidth="1" min="34" max="34" width="8.25"/>
    <col customWidth="1" min="35" max="35" width="7.88"/>
    <col customWidth="1" min="36" max="36" width="8.13"/>
    <col customWidth="1" min="37" max="37" width="8.0"/>
    <col customWidth="1" min="38" max="38" width="7.88"/>
    <col customWidth="1" min="39" max="39" width="8.88"/>
    <col customWidth="1" min="40" max="40" width="10.13"/>
    <col customWidth="1" min="41" max="41" width="8.7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16.0</v>
      </c>
      <c r="D4" s="16">
        <v>28.0</v>
      </c>
      <c r="E4" s="16">
        <v>19.2704347826087</v>
      </c>
      <c r="F4" s="16">
        <v>10.0</v>
      </c>
      <c r="G4" s="16">
        <v>30.0</v>
      </c>
      <c r="H4" s="16">
        <v>19.7268</v>
      </c>
      <c r="I4" s="16">
        <v>24.0</v>
      </c>
      <c r="J4" s="16">
        <v>60.0</v>
      </c>
      <c r="K4" s="16">
        <v>37.3012</v>
      </c>
      <c r="L4" s="16">
        <v>20.0</v>
      </c>
      <c r="M4" s="16">
        <v>45.0</v>
      </c>
      <c r="N4" s="16">
        <v>30.1433333333333</v>
      </c>
      <c r="O4" s="16">
        <v>19.0</v>
      </c>
      <c r="P4" s="16">
        <v>42.0</v>
      </c>
      <c r="Q4" s="16">
        <v>27.8047826086957</v>
      </c>
      <c r="R4" s="16">
        <v>28.0</v>
      </c>
      <c r="S4" s="16">
        <v>60.0</v>
      </c>
      <c r="T4" s="16">
        <v>44.6289473684211</v>
      </c>
      <c r="U4" s="16">
        <v>30.0</v>
      </c>
      <c r="V4" s="16">
        <v>70.0</v>
      </c>
      <c r="W4" s="16">
        <v>48.9588</v>
      </c>
      <c r="X4" s="16">
        <v>18.0</v>
      </c>
      <c r="Y4" s="16">
        <v>42.0</v>
      </c>
      <c r="Z4" s="16">
        <v>28.388</v>
      </c>
      <c r="AA4" s="16">
        <v>18.0</v>
      </c>
      <c r="AB4" s="16">
        <v>30.0</v>
      </c>
      <c r="AC4" s="16">
        <v>23.4916666666667</v>
      </c>
      <c r="AD4" s="16">
        <v>18.0</v>
      </c>
      <c r="AE4" s="16">
        <v>30.0</v>
      </c>
      <c r="AF4" s="16">
        <v>21.2357142857143</v>
      </c>
      <c r="AG4" s="16">
        <v>16.0</v>
      </c>
      <c r="AH4" s="16">
        <v>34.0</v>
      </c>
      <c r="AI4" s="16">
        <v>21.5325</v>
      </c>
      <c r="AJ4" s="16">
        <v>24.0</v>
      </c>
      <c r="AK4" s="16">
        <v>40.0</v>
      </c>
      <c r="AL4" s="17">
        <v>33.3768</v>
      </c>
      <c r="AM4" s="18">
        <v>10.0</v>
      </c>
      <c r="AN4" s="19">
        <v>70.0</v>
      </c>
      <c r="AO4" s="20">
        <v>29.65491492045332</v>
      </c>
    </row>
    <row r="5" ht="15.75" customHeight="1">
      <c r="A5" s="14" t="s">
        <v>20</v>
      </c>
      <c r="B5" s="15" t="s">
        <v>19</v>
      </c>
      <c r="C5" s="16">
        <v>8.0</v>
      </c>
      <c r="D5" s="16">
        <v>28.0</v>
      </c>
      <c r="E5" s="16">
        <v>15.6869565217391</v>
      </c>
      <c r="F5" s="16">
        <v>6.0</v>
      </c>
      <c r="G5" s="16">
        <v>18.0</v>
      </c>
      <c r="H5" s="16">
        <v>10.976</v>
      </c>
      <c r="I5" s="16">
        <v>12.0</v>
      </c>
      <c r="J5" s="16">
        <v>55.0</v>
      </c>
      <c r="K5" s="16">
        <v>35.8852</v>
      </c>
      <c r="L5" s="16">
        <v>14.0</v>
      </c>
      <c r="M5" s="16">
        <v>45.0</v>
      </c>
      <c r="N5" s="16">
        <v>24.7555555555556</v>
      </c>
      <c r="O5" s="16">
        <v>14.0</v>
      </c>
      <c r="P5" s="16">
        <v>44.0</v>
      </c>
      <c r="Q5" s="16">
        <v>26.5065217391304</v>
      </c>
      <c r="R5" s="16">
        <v>28.0</v>
      </c>
      <c r="S5" s="16">
        <v>65.0</v>
      </c>
      <c r="T5" s="16">
        <v>49.6078947368421</v>
      </c>
      <c r="U5" s="16">
        <v>28.0</v>
      </c>
      <c r="V5" s="16">
        <v>65.0</v>
      </c>
      <c r="W5" s="16">
        <v>52.492</v>
      </c>
      <c r="X5" s="16">
        <v>18.0</v>
      </c>
      <c r="Y5" s="16">
        <v>42.0</v>
      </c>
      <c r="Z5" s="16">
        <v>29.164</v>
      </c>
      <c r="AA5" s="16">
        <v>18.0</v>
      </c>
      <c r="AB5" s="16">
        <v>38.0</v>
      </c>
      <c r="AC5" s="16">
        <v>27.0666666666667</v>
      </c>
      <c r="AD5" s="16">
        <v>12.0</v>
      </c>
      <c r="AE5" s="16">
        <v>30.0</v>
      </c>
      <c r="AF5" s="16">
        <v>18.9047619047619</v>
      </c>
      <c r="AG5" s="16">
        <v>10.0</v>
      </c>
      <c r="AH5" s="16">
        <v>30.0</v>
      </c>
      <c r="AI5" s="16">
        <v>20.14</v>
      </c>
      <c r="AJ5" s="16">
        <v>14.0</v>
      </c>
      <c r="AK5" s="16">
        <v>46.0</v>
      </c>
      <c r="AL5" s="17">
        <v>32.032</v>
      </c>
      <c r="AM5" s="18">
        <v>6.0</v>
      </c>
      <c r="AN5" s="19">
        <v>65.0</v>
      </c>
      <c r="AO5" s="20">
        <v>28.601463093724647</v>
      </c>
    </row>
    <row r="6" ht="15.75" customHeight="1">
      <c r="A6" s="14" t="s">
        <v>21</v>
      </c>
      <c r="B6" s="15" t="s">
        <v>19</v>
      </c>
      <c r="C6" s="16">
        <v>12.0</v>
      </c>
      <c r="D6" s="16">
        <v>18.0</v>
      </c>
      <c r="E6" s="16">
        <v>15.8260869565217</v>
      </c>
      <c r="F6" s="16">
        <v>13.0</v>
      </c>
      <c r="G6" s="16">
        <v>16.0</v>
      </c>
      <c r="H6" s="16">
        <v>14.228</v>
      </c>
      <c r="I6" s="16">
        <v>13.0</v>
      </c>
      <c r="J6" s="16">
        <v>22.0</v>
      </c>
      <c r="K6" s="16">
        <v>19.616</v>
      </c>
      <c r="L6" s="16">
        <v>14.0</v>
      </c>
      <c r="M6" s="16">
        <v>22.0</v>
      </c>
      <c r="N6" s="16">
        <v>20.3481481481481</v>
      </c>
      <c r="O6" s="16">
        <v>20.0</v>
      </c>
      <c r="P6" s="16">
        <v>28.0</v>
      </c>
      <c r="Q6" s="16">
        <v>23.8434782608696</v>
      </c>
      <c r="R6" s="16">
        <v>18.0</v>
      </c>
      <c r="S6" s="16">
        <v>28.0</v>
      </c>
      <c r="T6" s="16">
        <v>23.0263157894737</v>
      </c>
      <c r="U6" s="16">
        <v>16.0</v>
      </c>
      <c r="V6" s="16">
        <v>34.0</v>
      </c>
      <c r="W6" s="16">
        <v>24.96</v>
      </c>
      <c r="X6" s="16">
        <v>16.0</v>
      </c>
      <c r="Y6" s="16">
        <v>24.0</v>
      </c>
      <c r="Z6" s="16">
        <v>20.744</v>
      </c>
      <c r="AA6" s="16">
        <v>18.0</v>
      </c>
      <c r="AB6" s="16">
        <v>22.0</v>
      </c>
      <c r="AC6" s="16">
        <v>19.8166666666667</v>
      </c>
      <c r="AD6" s="16">
        <v>15.0</v>
      </c>
      <c r="AE6" s="16">
        <v>22.0</v>
      </c>
      <c r="AF6" s="16">
        <v>18.4095238095238</v>
      </c>
      <c r="AG6" s="16">
        <v>14.0</v>
      </c>
      <c r="AH6" s="16">
        <v>18.0</v>
      </c>
      <c r="AI6" s="16">
        <v>15.7575</v>
      </c>
      <c r="AJ6" s="16">
        <v>8.0</v>
      </c>
      <c r="AK6" s="16">
        <v>24.0</v>
      </c>
      <c r="AL6" s="17">
        <v>17.808</v>
      </c>
      <c r="AM6" s="18">
        <v>8.0</v>
      </c>
      <c r="AN6" s="19">
        <v>34.0</v>
      </c>
      <c r="AO6" s="20">
        <v>19.53197663593363</v>
      </c>
    </row>
    <row r="7" ht="15.75" customHeight="1">
      <c r="A7" s="14" t="s">
        <v>22</v>
      </c>
      <c r="B7" s="15" t="s">
        <v>19</v>
      </c>
      <c r="C7" s="16">
        <v>10.0</v>
      </c>
      <c r="D7" s="16">
        <v>13.0</v>
      </c>
      <c r="E7" s="16">
        <v>11.0726086956522</v>
      </c>
      <c r="F7" s="16">
        <v>10.0</v>
      </c>
      <c r="G7" s="16">
        <v>12.0</v>
      </c>
      <c r="H7" s="16">
        <v>10.5336</v>
      </c>
      <c r="I7" s="16">
        <v>10.0</v>
      </c>
      <c r="J7" s="16">
        <v>18.0</v>
      </c>
      <c r="K7" s="16">
        <v>15.2708</v>
      </c>
      <c r="L7" s="16">
        <v>14.0</v>
      </c>
      <c r="M7" s="16">
        <v>17.0</v>
      </c>
      <c r="N7" s="16">
        <v>15.542962962963</v>
      </c>
      <c r="O7" s="16">
        <v>15.0</v>
      </c>
      <c r="P7" s="16">
        <v>22.0</v>
      </c>
      <c r="Q7" s="16">
        <v>18.2486956521739</v>
      </c>
      <c r="R7" s="16">
        <v>14.0</v>
      </c>
      <c r="S7" s="16">
        <v>25.0</v>
      </c>
      <c r="T7" s="16">
        <v>19.2105263157895</v>
      </c>
      <c r="U7" s="16">
        <v>12.0</v>
      </c>
      <c r="V7" s="16">
        <v>26.0</v>
      </c>
      <c r="W7" s="16">
        <v>19.734</v>
      </c>
      <c r="X7" s="16">
        <v>13.0</v>
      </c>
      <c r="Y7" s="16">
        <v>18.0</v>
      </c>
      <c r="Z7" s="16">
        <v>15.3892</v>
      </c>
      <c r="AA7" s="16">
        <v>12.0</v>
      </c>
      <c r="AB7" s="16">
        <v>15.0</v>
      </c>
      <c r="AC7" s="16">
        <v>13.9416666666667</v>
      </c>
      <c r="AD7" s="16">
        <v>12.0</v>
      </c>
      <c r="AE7" s="16">
        <v>14.0</v>
      </c>
      <c r="AF7" s="16">
        <v>12.5680952380952</v>
      </c>
      <c r="AG7" s="16">
        <v>12.0</v>
      </c>
      <c r="AH7" s="16">
        <v>13.0</v>
      </c>
      <c r="AI7" s="16">
        <v>12.507</v>
      </c>
      <c r="AJ7" s="16">
        <v>12.0</v>
      </c>
      <c r="AK7" s="16">
        <v>18.0</v>
      </c>
      <c r="AL7" s="17">
        <v>16.0336</v>
      </c>
      <c r="AM7" s="18">
        <v>10.0</v>
      </c>
      <c r="AN7" s="19">
        <v>26.0</v>
      </c>
      <c r="AO7" s="20">
        <v>15.004396294278378</v>
      </c>
    </row>
    <row r="8" ht="15.75" customHeight="1">
      <c r="A8" s="14" t="s">
        <v>23</v>
      </c>
      <c r="B8" s="15" t="s">
        <v>19</v>
      </c>
      <c r="C8" s="16">
        <v>16.0</v>
      </c>
      <c r="D8" s="16">
        <v>20.0</v>
      </c>
      <c r="E8" s="16">
        <v>17.6782608695652</v>
      </c>
      <c r="F8" s="16">
        <v>16.0</v>
      </c>
      <c r="G8" s="16">
        <v>20.0</v>
      </c>
      <c r="H8" s="16">
        <v>17.336</v>
      </c>
      <c r="I8" s="16">
        <v>17.0</v>
      </c>
      <c r="J8" s="16">
        <v>28.0</v>
      </c>
      <c r="K8" s="16">
        <v>22.296</v>
      </c>
      <c r="L8" s="16">
        <v>22.0</v>
      </c>
      <c r="M8" s="16">
        <v>30.0</v>
      </c>
      <c r="N8" s="16">
        <v>25.1185185185185</v>
      </c>
      <c r="O8" s="16">
        <v>28.0</v>
      </c>
      <c r="P8" s="16">
        <v>44.0</v>
      </c>
      <c r="Q8" s="16">
        <v>33.1652173913043</v>
      </c>
      <c r="R8" s="16">
        <v>26.0</v>
      </c>
      <c r="S8" s="16">
        <v>40.0</v>
      </c>
      <c r="T8" s="16">
        <v>33.1263157894737</v>
      </c>
      <c r="U8" s="16">
        <v>24.0</v>
      </c>
      <c r="V8" s="16">
        <v>34.0</v>
      </c>
      <c r="W8" s="16">
        <v>27.744</v>
      </c>
      <c r="X8" s="16">
        <v>20.0</v>
      </c>
      <c r="Y8" s="16">
        <v>28.0</v>
      </c>
      <c r="Z8" s="16">
        <v>23.168</v>
      </c>
      <c r="AA8" s="16">
        <v>17.0</v>
      </c>
      <c r="AB8" s="16">
        <v>24.0</v>
      </c>
      <c r="AC8" s="16">
        <v>20.2666666666667</v>
      </c>
      <c r="AD8" s="16">
        <v>16.0</v>
      </c>
      <c r="AE8" s="16">
        <v>20.0</v>
      </c>
      <c r="AF8" s="16">
        <v>17.9333333333333</v>
      </c>
      <c r="AG8" s="16">
        <v>16.0</v>
      </c>
      <c r="AH8" s="16">
        <v>20.0</v>
      </c>
      <c r="AI8" s="16">
        <v>17.9835</v>
      </c>
      <c r="AJ8" s="16">
        <v>16.0</v>
      </c>
      <c r="AK8" s="16">
        <v>19.0</v>
      </c>
      <c r="AL8" s="17">
        <v>17.336</v>
      </c>
      <c r="AM8" s="18">
        <v>16.0</v>
      </c>
      <c r="AN8" s="19">
        <v>44.0</v>
      </c>
      <c r="AO8" s="20">
        <v>22.76265104740514</v>
      </c>
    </row>
    <row r="9" ht="15.75" customHeight="1">
      <c r="A9" s="14" t="s">
        <v>24</v>
      </c>
      <c r="B9" s="15" t="s">
        <v>19</v>
      </c>
      <c r="C9" s="16">
        <v>18.0</v>
      </c>
      <c r="D9" s="16">
        <v>28.0</v>
      </c>
      <c r="E9" s="16">
        <v>22.245652173913</v>
      </c>
      <c r="F9" s="16">
        <v>20.0</v>
      </c>
      <c r="G9" s="16">
        <v>40.0</v>
      </c>
      <c r="H9" s="16">
        <v>25.382</v>
      </c>
      <c r="I9" s="16">
        <v>14.0</v>
      </c>
      <c r="J9" s="16">
        <v>50.0</v>
      </c>
      <c r="K9" s="16">
        <v>39.8979166666667</v>
      </c>
      <c r="L9" s="16">
        <v>42.0</v>
      </c>
      <c r="M9" s="16">
        <v>75.0</v>
      </c>
      <c r="N9" s="16">
        <v>52.4251851851852</v>
      </c>
      <c r="O9" s="16">
        <v>50.0</v>
      </c>
      <c r="P9" s="16">
        <v>80.0</v>
      </c>
      <c r="Q9" s="16">
        <v>65.7386956521739</v>
      </c>
      <c r="R9" s="16">
        <v>50.0</v>
      </c>
      <c r="S9" s="16">
        <v>100.0</v>
      </c>
      <c r="T9" s="16">
        <v>69.2631578947368</v>
      </c>
      <c r="U9" s="16">
        <v>40.0</v>
      </c>
      <c r="V9" s="16">
        <v>82.0</v>
      </c>
      <c r="W9" s="16">
        <v>62.8828</v>
      </c>
      <c r="X9" s="16">
        <v>26.0</v>
      </c>
      <c r="Y9" s="16">
        <v>60.0</v>
      </c>
      <c r="Z9" s="16">
        <v>41.24</v>
      </c>
      <c r="AA9" s="16">
        <v>19.0</v>
      </c>
      <c r="AB9" s="16">
        <v>34.0</v>
      </c>
      <c r="AC9" s="16">
        <v>27.425</v>
      </c>
      <c r="AD9" s="16">
        <v>22.0</v>
      </c>
      <c r="AE9" s="16">
        <v>35.0</v>
      </c>
      <c r="AF9" s="16">
        <v>28.8857142857143</v>
      </c>
      <c r="AG9" s="16">
        <v>12.0</v>
      </c>
      <c r="AH9" s="16">
        <v>32.0</v>
      </c>
      <c r="AI9" s="16">
        <v>23.945</v>
      </c>
      <c r="AJ9" s="16">
        <v>16.0</v>
      </c>
      <c r="AK9" s="16">
        <v>25.0</v>
      </c>
      <c r="AL9" s="17">
        <v>20.808</v>
      </c>
      <c r="AM9" s="18">
        <v>12.0</v>
      </c>
      <c r="AN9" s="19">
        <v>100.0</v>
      </c>
      <c r="AO9" s="20">
        <v>40.01159348819916</v>
      </c>
    </row>
    <row r="10" ht="15.75" customHeight="1">
      <c r="A10" s="14" t="s">
        <v>25</v>
      </c>
      <c r="B10" s="15" t="s">
        <v>19</v>
      </c>
      <c r="C10" s="16">
        <v>6.0</v>
      </c>
      <c r="D10" s="16">
        <v>12.0</v>
      </c>
      <c r="E10" s="16">
        <v>8.0021739130435</v>
      </c>
      <c r="F10" s="16">
        <v>6.0</v>
      </c>
      <c r="G10" s="16">
        <v>15.0</v>
      </c>
      <c r="H10" s="16">
        <v>9.5</v>
      </c>
      <c r="I10" s="16">
        <v>10.0</v>
      </c>
      <c r="J10" s="16">
        <v>34.0</v>
      </c>
      <c r="K10" s="16">
        <v>18.032</v>
      </c>
      <c r="L10" s="16">
        <v>10.0</v>
      </c>
      <c r="M10" s="16">
        <v>20.0</v>
      </c>
      <c r="N10" s="16">
        <v>14.8759259259259</v>
      </c>
      <c r="O10" s="16">
        <v>12.0</v>
      </c>
      <c r="P10" s="16">
        <v>22.0</v>
      </c>
      <c r="Q10" s="16">
        <v>16.4347826086957</v>
      </c>
      <c r="R10" s="16">
        <v>15.0</v>
      </c>
      <c r="S10" s="16">
        <v>24.0</v>
      </c>
      <c r="T10" s="16">
        <v>19.3368421052632</v>
      </c>
      <c r="U10" s="16">
        <v>16.0</v>
      </c>
      <c r="V10" s="16">
        <v>26.0</v>
      </c>
      <c r="W10" s="16">
        <v>19.92</v>
      </c>
      <c r="X10" s="16">
        <v>12.0</v>
      </c>
      <c r="Y10" s="16">
        <v>22.0</v>
      </c>
      <c r="Z10" s="16">
        <v>18.0612</v>
      </c>
      <c r="AA10" s="16">
        <v>14.0</v>
      </c>
      <c r="AB10" s="16">
        <v>22.0</v>
      </c>
      <c r="AC10" s="16">
        <v>16.9416666666667</v>
      </c>
      <c r="AD10" s="16">
        <v>10.0</v>
      </c>
      <c r="AE10" s="16">
        <v>21.0</v>
      </c>
      <c r="AF10" s="16">
        <v>15.2095238095238</v>
      </c>
      <c r="AG10" s="16">
        <v>12.0</v>
      </c>
      <c r="AH10" s="16">
        <v>20.0</v>
      </c>
      <c r="AI10" s="16">
        <v>14.7665</v>
      </c>
      <c r="AJ10" s="16">
        <v>10.0</v>
      </c>
      <c r="AK10" s="16">
        <v>15.0</v>
      </c>
      <c r="AL10" s="17">
        <v>12.128</v>
      </c>
      <c r="AM10" s="18">
        <v>6.0</v>
      </c>
      <c r="AN10" s="19">
        <v>34.0</v>
      </c>
      <c r="AO10" s="20">
        <v>15.2673845857599</v>
      </c>
    </row>
    <row r="11" ht="15.75" customHeight="1">
      <c r="A11" s="14" t="s">
        <v>26</v>
      </c>
      <c r="B11" s="15" t="s">
        <v>19</v>
      </c>
      <c r="C11" s="16">
        <v>16.0</v>
      </c>
      <c r="D11" s="16">
        <v>36.0</v>
      </c>
      <c r="E11" s="16">
        <v>24.4282608695652</v>
      </c>
      <c r="F11" s="16">
        <v>12.0</v>
      </c>
      <c r="G11" s="16">
        <v>40.0</v>
      </c>
      <c r="H11" s="16">
        <v>24.576</v>
      </c>
      <c r="I11" s="16">
        <v>16.0</v>
      </c>
      <c r="J11" s="16">
        <v>55.0</v>
      </c>
      <c r="K11" s="16">
        <v>30.52</v>
      </c>
      <c r="L11" s="16">
        <v>28.0</v>
      </c>
      <c r="M11" s="16">
        <v>60.0</v>
      </c>
      <c r="N11" s="16">
        <v>39.6962962962963</v>
      </c>
      <c r="O11" s="16">
        <v>35.0</v>
      </c>
      <c r="P11" s="16">
        <v>76.0</v>
      </c>
      <c r="Q11" s="16">
        <v>47.3130434782609</v>
      </c>
      <c r="R11" s="16">
        <v>38.0</v>
      </c>
      <c r="S11" s="16">
        <v>72.0</v>
      </c>
      <c r="T11" s="16">
        <v>49.8736842105263</v>
      </c>
      <c r="U11" s="16">
        <v>20.0</v>
      </c>
      <c r="V11" s="16">
        <v>60.0</v>
      </c>
      <c r="W11" s="16">
        <v>37.896</v>
      </c>
      <c r="X11" s="16">
        <v>15.0</v>
      </c>
      <c r="Y11" s="16">
        <v>45.0</v>
      </c>
      <c r="Z11" s="16">
        <v>27.32</v>
      </c>
      <c r="AA11" s="16">
        <v>20.0</v>
      </c>
      <c r="AB11" s="16">
        <v>40.0</v>
      </c>
      <c r="AC11" s="16">
        <v>29.75</v>
      </c>
      <c r="AD11" s="16">
        <v>24.0</v>
      </c>
      <c r="AE11" s="16">
        <v>42.0</v>
      </c>
      <c r="AF11" s="16">
        <v>32.9714285714286</v>
      </c>
      <c r="AG11" s="16">
        <v>12.0</v>
      </c>
      <c r="AH11" s="16">
        <v>28.0</v>
      </c>
      <c r="AI11" s="16">
        <v>20.435</v>
      </c>
      <c r="AJ11" s="16">
        <v>8.0</v>
      </c>
      <c r="AK11" s="16">
        <v>22.0</v>
      </c>
      <c r="AL11" s="17">
        <v>13.616</v>
      </c>
      <c r="AM11" s="18">
        <v>8.0</v>
      </c>
      <c r="AN11" s="19">
        <v>76.0</v>
      </c>
      <c r="AO11" s="20">
        <v>31.53297611883977</v>
      </c>
    </row>
    <row r="12" ht="15.75" customHeight="1">
      <c r="A12" s="14" t="s">
        <v>27</v>
      </c>
      <c r="B12" s="15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>
        <v>10.0</v>
      </c>
      <c r="Y12" s="16">
        <v>36.0</v>
      </c>
      <c r="Z12" s="16">
        <v>19.046875</v>
      </c>
      <c r="AA12" s="16">
        <v>13.0</v>
      </c>
      <c r="AB12" s="16">
        <v>30.0</v>
      </c>
      <c r="AC12" s="16">
        <v>20.6711111111111</v>
      </c>
      <c r="AD12" s="16">
        <v>16.0</v>
      </c>
      <c r="AE12" s="16">
        <v>32.0</v>
      </c>
      <c r="AF12" s="16">
        <v>22.0722222222222</v>
      </c>
      <c r="AG12" s="16">
        <v>10.0</v>
      </c>
      <c r="AH12" s="16">
        <v>24.0</v>
      </c>
      <c r="AI12" s="16">
        <v>15.4275</v>
      </c>
      <c r="AJ12" s="16"/>
      <c r="AK12" s="16"/>
      <c r="AL12" s="17"/>
      <c r="AM12" s="18">
        <v>10.0</v>
      </c>
      <c r="AN12" s="19">
        <v>36.0</v>
      </c>
      <c r="AO12" s="20">
        <v>19.304427083333326</v>
      </c>
    </row>
    <row r="13" ht="15.75" customHeight="1">
      <c r="A13" s="14" t="s">
        <v>28</v>
      </c>
      <c r="B13" s="15" t="s">
        <v>19</v>
      </c>
      <c r="C13" s="16">
        <v>20.0</v>
      </c>
      <c r="D13" s="16">
        <v>35.0</v>
      </c>
      <c r="E13" s="16">
        <v>27.8328571428571</v>
      </c>
      <c r="F13" s="16">
        <v>15.0</v>
      </c>
      <c r="G13" s="16">
        <v>18.0</v>
      </c>
      <c r="H13" s="16">
        <v>16.5</v>
      </c>
      <c r="I13" s="16"/>
      <c r="J13" s="16"/>
      <c r="K13" s="16"/>
      <c r="L13" s="16"/>
      <c r="M13" s="16"/>
      <c r="N13" s="16"/>
      <c r="O13" s="16"/>
      <c r="P13" s="16"/>
      <c r="Q13" s="16"/>
      <c r="R13" s="16">
        <v>14.0</v>
      </c>
      <c r="S13" s="16">
        <v>16.0</v>
      </c>
      <c r="T13" s="16">
        <v>15.0</v>
      </c>
      <c r="U13" s="16">
        <v>20.0</v>
      </c>
      <c r="V13" s="16">
        <v>50.0</v>
      </c>
      <c r="W13" s="16">
        <v>25.7005882352941</v>
      </c>
      <c r="X13" s="16">
        <v>16.0</v>
      </c>
      <c r="Y13" s="16">
        <v>32.0</v>
      </c>
      <c r="Z13" s="16">
        <v>22.244</v>
      </c>
      <c r="AA13" s="16">
        <v>18.0</v>
      </c>
      <c r="AB13" s="16">
        <v>30.0</v>
      </c>
      <c r="AC13" s="16">
        <v>23.6654166666667</v>
      </c>
      <c r="AD13" s="16">
        <v>20.0</v>
      </c>
      <c r="AE13" s="16">
        <v>35.0</v>
      </c>
      <c r="AF13" s="16">
        <v>27.4728571428571</v>
      </c>
      <c r="AG13" s="16">
        <v>18.0</v>
      </c>
      <c r="AH13" s="16">
        <v>30.0</v>
      </c>
      <c r="AI13" s="16">
        <v>21.834</v>
      </c>
      <c r="AJ13" s="16">
        <v>18.0</v>
      </c>
      <c r="AK13" s="16">
        <v>40.0</v>
      </c>
      <c r="AL13" s="17">
        <v>29.9748</v>
      </c>
      <c r="AM13" s="18">
        <v>14.0</v>
      </c>
      <c r="AN13" s="19">
        <v>50.0</v>
      </c>
      <c r="AO13" s="20">
        <v>23.35827990974167</v>
      </c>
    </row>
    <row r="14" ht="15.75" customHeight="1">
      <c r="A14" s="14" t="s">
        <v>29</v>
      </c>
      <c r="B14" s="15" t="s">
        <v>19</v>
      </c>
      <c r="C14" s="16">
        <v>10.0</v>
      </c>
      <c r="D14" s="16">
        <v>26.0</v>
      </c>
      <c r="E14" s="16">
        <v>19.1739130434783</v>
      </c>
      <c r="F14" s="16">
        <v>8.0</v>
      </c>
      <c r="G14" s="16">
        <v>26.0</v>
      </c>
      <c r="H14" s="16">
        <v>15.704</v>
      </c>
      <c r="I14" s="16">
        <v>8.0</v>
      </c>
      <c r="J14" s="16">
        <v>18.0</v>
      </c>
      <c r="K14" s="16">
        <v>11.44</v>
      </c>
      <c r="L14" s="16">
        <v>8.0</v>
      </c>
      <c r="M14" s="16">
        <v>30.0</v>
      </c>
      <c r="N14" s="16">
        <v>19.5384615384615</v>
      </c>
      <c r="O14" s="16">
        <v>12.0</v>
      </c>
      <c r="P14" s="16">
        <v>40.0</v>
      </c>
      <c r="Q14" s="16">
        <v>23.1</v>
      </c>
      <c r="R14" s="16">
        <v>6.0</v>
      </c>
      <c r="S14" s="16">
        <v>20.0</v>
      </c>
      <c r="T14" s="16">
        <v>13.5444444444444</v>
      </c>
      <c r="U14" s="16">
        <v>7.0</v>
      </c>
      <c r="V14" s="16">
        <v>15.0</v>
      </c>
      <c r="W14" s="16">
        <v>10.5012</v>
      </c>
      <c r="X14" s="16">
        <v>6.0</v>
      </c>
      <c r="Y14" s="16">
        <v>20.0</v>
      </c>
      <c r="Z14" s="16">
        <v>11.016</v>
      </c>
      <c r="AA14" s="16">
        <v>8.0</v>
      </c>
      <c r="AB14" s="16">
        <v>21.0</v>
      </c>
      <c r="AC14" s="16">
        <v>11.05</v>
      </c>
      <c r="AD14" s="16">
        <v>6.0</v>
      </c>
      <c r="AE14" s="16">
        <v>15.0</v>
      </c>
      <c r="AF14" s="16">
        <v>10.0857142857143</v>
      </c>
      <c r="AG14" s="16">
        <v>5.0</v>
      </c>
      <c r="AH14" s="16">
        <v>18.0</v>
      </c>
      <c r="AI14" s="16">
        <v>9.5715</v>
      </c>
      <c r="AJ14" s="16">
        <v>4.0</v>
      </c>
      <c r="AK14" s="16">
        <v>18.0</v>
      </c>
      <c r="AL14" s="17">
        <v>9.784</v>
      </c>
      <c r="AM14" s="18">
        <v>4.0</v>
      </c>
      <c r="AN14" s="19">
        <v>40.0</v>
      </c>
      <c r="AO14" s="20">
        <v>13.70910277600821</v>
      </c>
    </row>
    <row r="15" ht="15.75" customHeight="1">
      <c r="A15" s="14" t="s">
        <v>30</v>
      </c>
      <c r="B15" s="15" t="s">
        <v>19</v>
      </c>
      <c r="C15" s="16">
        <v>10.0</v>
      </c>
      <c r="D15" s="16">
        <v>20.0</v>
      </c>
      <c r="E15" s="16">
        <v>15.6545454545455</v>
      </c>
      <c r="F15" s="16">
        <v>10.0</v>
      </c>
      <c r="G15" s="16">
        <v>20.0</v>
      </c>
      <c r="H15" s="16">
        <v>14.3332</v>
      </c>
      <c r="I15" s="16">
        <v>10.0</v>
      </c>
      <c r="J15" s="16">
        <v>40.0</v>
      </c>
      <c r="K15" s="16">
        <v>21.528</v>
      </c>
      <c r="L15" s="16">
        <v>18.0</v>
      </c>
      <c r="M15" s="16">
        <v>36.0</v>
      </c>
      <c r="N15" s="16">
        <v>24.7666666666667</v>
      </c>
      <c r="O15" s="16">
        <v>16.0</v>
      </c>
      <c r="P15" s="16">
        <v>28.0</v>
      </c>
      <c r="Q15" s="16">
        <v>20.6434782608696</v>
      </c>
      <c r="R15" s="16">
        <v>16.0</v>
      </c>
      <c r="S15" s="16">
        <v>35.0</v>
      </c>
      <c r="T15" s="16">
        <v>21.7973684210526</v>
      </c>
      <c r="U15" s="16">
        <v>12.0</v>
      </c>
      <c r="V15" s="16">
        <v>34.0</v>
      </c>
      <c r="W15" s="16">
        <v>23.784</v>
      </c>
      <c r="X15" s="16">
        <v>18.0</v>
      </c>
      <c r="Y15" s="16">
        <v>35.0</v>
      </c>
      <c r="Z15" s="16">
        <v>24.392</v>
      </c>
      <c r="AA15" s="16">
        <v>20.0</v>
      </c>
      <c r="AB15" s="16">
        <v>36.0</v>
      </c>
      <c r="AC15" s="16">
        <v>28.6458333333333</v>
      </c>
      <c r="AD15" s="16">
        <v>26.0</v>
      </c>
      <c r="AE15" s="16">
        <v>40.0</v>
      </c>
      <c r="AF15" s="16">
        <v>33.5214285714286</v>
      </c>
      <c r="AG15" s="16">
        <v>32.0</v>
      </c>
      <c r="AH15" s="16">
        <v>55.0</v>
      </c>
      <c r="AI15" s="16">
        <v>44.1605</v>
      </c>
      <c r="AJ15" s="16">
        <v>18.0</v>
      </c>
      <c r="AK15" s="16">
        <v>50.0</v>
      </c>
      <c r="AL15" s="17">
        <v>27.494</v>
      </c>
      <c r="AM15" s="18">
        <v>10.0</v>
      </c>
      <c r="AN15" s="19">
        <v>55.0</v>
      </c>
      <c r="AO15" s="20">
        <v>25.06008505899136</v>
      </c>
    </row>
    <row r="16" ht="15.75" customHeight="1">
      <c r="A16" s="14" t="s">
        <v>31</v>
      </c>
      <c r="B16" s="15" t="s">
        <v>19</v>
      </c>
      <c r="C16" s="16">
        <v>20.0</v>
      </c>
      <c r="D16" s="16">
        <v>32.0</v>
      </c>
      <c r="E16" s="16">
        <v>26.5</v>
      </c>
      <c r="F16" s="16">
        <v>14.0</v>
      </c>
      <c r="G16" s="16">
        <v>30.0</v>
      </c>
      <c r="H16" s="16">
        <v>20.41625</v>
      </c>
      <c r="I16" s="16">
        <v>18.0</v>
      </c>
      <c r="J16" s="16">
        <v>22.0</v>
      </c>
      <c r="K16" s="16">
        <v>19.6666666666667</v>
      </c>
      <c r="L16" s="16">
        <v>24.0</v>
      </c>
      <c r="M16" s="16">
        <v>36.0</v>
      </c>
      <c r="N16" s="16">
        <v>29.8529411764706</v>
      </c>
      <c r="O16" s="16">
        <v>20.0</v>
      </c>
      <c r="P16" s="16">
        <v>32.0</v>
      </c>
      <c r="Q16" s="16">
        <v>27.1427272727273</v>
      </c>
      <c r="R16" s="16">
        <v>22.0</v>
      </c>
      <c r="S16" s="16">
        <v>36.0</v>
      </c>
      <c r="T16" s="16">
        <v>28.093125</v>
      </c>
      <c r="U16" s="16">
        <v>25.0</v>
      </c>
      <c r="V16" s="16">
        <v>40.0</v>
      </c>
      <c r="W16" s="16">
        <v>31.45125</v>
      </c>
      <c r="X16" s="16">
        <v>25.0</v>
      </c>
      <c r="Y16" s="16">
        <v>38.0</v>
      </c>
      <c r="Z16" s="16">
        <v>31.2727272727273</v>
      </c>
      <c r="AA16" s="16">
        <v>28.0</v>
      </c>
      <c r="AB16" s="16">
        <v>40.0</v>
      </c>
      <c r="AC16" s="16">
        <v>33.6054545454545</v>
      </c>
      <c r="AD16" s="16">
        <v>35.0</v>
      </c>
      <c r="AE16" s="16">
        <v>40.0</v>
      </c>
      <c r="AF16" s="16">
        <v>37.125</v>
      </c>
      <c r="AG16" s="16">
        <v>35.0</v>
      </c>
      <c r="AH16" s="16">
        <v>50.0</v>
      </c>
      <c r="AI16" s="16">
        <v>40.5</v>
      </c>
      <c r="AJ16" s="16">
        <v>28.0</v>
      </c>
      <c r="AK16" s="16">
        <v>34.0</v>
      </c>
      <c r="AL16" s="17">
        <v>30.0</v>
      </c>
      <c r="AM16" s="18">
        <v>14.0</v>
      </c>
      <c r="AN16" s="19">
        <v>50.0</v>
      </c>
      <c r="AO16" s="20">
        <v>29.635511827837203</v>
      </c>
    </row>
    <row r="17" ht="15.75" customHeight="1">
      <c r="A17" s="14" t="s">
        <v>32</v>
      </c>
      <c r="B17" s="15" t="s">
        <v>19</v>
      </c>
      <c r="C17" s="16">
        <v>18.0</v>
      </c>
      <c r="D17" s="16">
        <v>70.0</v>
      </c>
      <c r="E17" s="16">
        <v>36.2839130434783</v>
      </c>
      <c r="F17" s="16">
        <v>16.0</v>
      </c>
      <c r="G17" s="16">
        <v>28.0</v>
      </c>
      <c r="H17" s="16">
        <v>20.43875</v>
      </c>
      <c r="I17" s="16">
        <v>14.0</v>
      </c>
      <c r="J17" s="16">
        <v>60.0</v>
      </c>
      <c r="K17" s="16">
        <v>32.116</v>
      </c>
      <c r="L17" s="16">
        <v>30.0</v>
      </c>
      <c r="M17" s="16">
        <v>48.0</v>
      </c>
      <c r="N17" s="16">
        <v>38.2222222222222</v>
      </c>
      <c r="O17" s="16">
        <v>24.0</v>
      </c>
      <c r="P17" s="16">
        <v>60.0</v>
      </c>
      <c r="Q17" s="16">
        <v>40.454347826087</v>
      </c>
      <c r="R17" s="16">
        <v>28.0</v>
      </c>
      <c r="S17" s="16">
        <v>75.0</v>
      </c>
      <c r="T17" s="16">
        <v>47.0326315789474</v>
      </c>
      <c r="U17" s="16">
        <v>45.0</v>
      </c>
      <c r="V17" s="16">
        <v>70.0</v>
      </c>
      <c r="W17" s="16">
        <v>54.35375</v>
      </c>
      <c r="X17" s="16">
        <v>28.0</v>
      </c>
      <c r="Y17" s="16">
        <v>60.0</v>
      </c>
      <c r="Z17" s="16">
        <v>42.7712</v>
      </c>
      <c r="AA17" s="16">
        <v>28.0</v>
      </c>
      <c r="AB17" s="16">
        <v>52.0</v>
      </c>
      <c r="AC17" s="16">
        <v>36.8457142857143</v>
      </c>
      <c r="AD17" s="16"/>
      <c r="AE17" s="16"/>
      <c r="AF17" s="16"/>
      <c r="AG17" s="16"/>
      <c r="AH17" s="16"/>
      <c r="AI17" s="16"/>
      <c r="AJ17" s="16">
        <v>55.0</v>
      </c>
      <c r="AK17" s="16">
        <v>120.0</v>
      </c>
      <c r="AL17" s="17">
        <v>80.4786666666667</v>
      </c>
      <c r="AM17" s="18">
        <v>14.0</v>
      </c>
      <c r="AN17" s="19">
        <v>120.0</v>
      </c>
      <c r="AO17" s="20">
        <v>42.899719562311596</v>
      </c>
    </row>
    <row r="18" ht="15.75" customHeight="1">
      <c r="A18" s="14" t="s">
        <v>33</v>
      </c>
      <c r="B18" s="15" t="s">
        <v>19</v>
      </c>
      <c r="C18" s="16">
        <v>18.0</v>
      </c>
      <c r="D18" s="16">
        <v>42.0</v>
      </c>
      <c r="E18" s="16">
        <v>30.2628571428571</v>
      </c>
      <c r="F18" s="16">
        <v>28.0</v>
      </c>
      <c r="G18" s="16">
        <v>55.0</v>
      </c>
      <c r="H18" s="16">
        <v>40.1973913043478</v>
      </c>
      <c r="I18" s="16">
        <v>30.0</v>
      </c>
      <c r="J18" s="16">
        <v>100.0</v>
      </c>
      <c r="K18" s="16">
        <v>60.3892857142857</v>
      </c>
      <c r="L18" s="16"/>
      <c r="M18" s="16"/>
      <c r="N18" s="16"/>
      <c r="O18" s="16"/>
      <c r="P18" s="16"/>
      <c r="Q18" s="16"/>
      <c r="R18" s="16">
        <v>95.0</v>
      </c>
      <c r="S18" s="16">
        <v>120.0</v>
      </c>
      <c r="T18" s="16">
        <v>105.8333333333333</v>
      </c>
      <c r="U18" s="16">
        <v>40.0</v>
      </c>
      <c r="V18" s="16">
        <v>120.0</v>
      </c>
      <c r="W18" s="16">
        <v>72.8419047619048</v>
      </c>
      <c r="X18" s="16">
        <v>30.0</v>
      </c>
      <c r="Y18" s="16">
        <v>75.0</v>
      </c>
      <c r="Z18" s="16">
        <v>50.784</v>
      </c>
      <c r="AA18" s="16">
        <v>16.0</v>
      </c>
      <c r="AB18" s="16">
        <v>40.0</v>
      </c>
      <c r="AC18" s="16">
        <v>27.4458333333333</v>
      </c>
      <c r="AD18" s="16">
        <v>20.0</v>
      </c>
      <c r="AE18" s="16">
        <v>30.0</v>
      </c>
      <c r="AF18" s="16">
        <v>25.8261904761905</v>
      </c>
      <c r="AG18" s="16">
        <v>24.0</v>
      </c>
      <c r="AH18" s="16">
        <v>48.0</v>
      </c>
      <c r="AI18" s="16">
        <v>33.0635</v>
      </c>
      <c r="AJ18" s="16">
        <v>22.0</v>
      </c>
      <c r="AK18" s="16">
        <v>42.0</v>
      </c>
      <c r="AL18" s="17">
        <v>30.584</v>
      </c>
      <c r="AM18" s="18">
        <v>16.0</v>
      </c>
      <c r="AN18" s="19">
        <v>120.0</v>
      </c>
      <c r="AO18" s="20">
        <v>47.72282960662525</v>
      </c>
    </row>
    <row r="19" ht="15.75" customHeight="1">
      <c r="A19" s="14" t="s">
        <v>34</v>
      </c>
      <c r="B19" s="15" t="s">
        <v>19</v>
      </c>
      <c r="C19" s="16">
        <v>14.0</v>
      </c>
      <c r="D19" s="16">
        <v>34.0</v>
      </c>
      <c r="E19" s="16">
        <v>22.8173913043478</v>
      </c>
      <c r="F19" s="16">
        <v>14.0</v>
      </c>
      <c r="G19" s="16">
        <v>26.0</v>
      </c>
      <c r="H19" s="16">
        <v>19.712</v>
      </c>
      <c r="I19" s="16">
        <v>12.0</v>
      </c>
      <c r="J19" s="16">
        <v>48.0</v>
      </c>
      <c r="K19" s="16">
        <v>27.608</v>
      </c>
      <c r="L19" s="16">
        <v>26.0</v>
      </c>
      <c r="M19" s="16">
        <v>46.0</v>
      </c>
      <c r="N19" s="16">
        <v>38.4846153846154</v>
      </c>
      <c r="O19" s="16">
        <v>30.0</v>
      </c>
      <c r="P19" s="16">
        <v>58.0</v>
      </c>
      <c r="Q19" s="16">
        <v>43.5636363636364</v>
      </c>
      <c r="R19" s="16">
        <v>18.0</v>
      </c>
      <c r="S19" s="16">
        <v>60.0</v>
      </c>
      <c r="T19" s="16">
        <v>35.9157894736842</v>
      </c>
      <c r="U19" s="16">
        <v>24.0</v>
      </c>
      <c r="V19" s="16">
        <v>50.0</v>
      </c>
      <c r="W19" s="16">
        <v>30.728</v>
      </c>
      <c r="X19" s="16">
        <v>30.0</v>
      </c>
      <c r="Y19" s="16">
        <v>60.0</v>
      </c>
      <c r="Z19" s="16">
        <v>40.408</v>
      </c>
      <c r="AA19" s="16">
        <v>24.0</v>
      </c>
      <c r="AB19" s="16">
        <v>55.0</v>
      </c>
      <c r="AC19" s="16">
        <v>38.1529166666667</v>
      </c>
      <c r="AD19" s="16">
        <v>26.0</v>
      </c>
      <c r="AE19" s="16">
        <v>80.0</v>
      </c>
      <c r="AF19" s="16">
        <v>48.117619047619</v>
      </c>
      <c r="AG19" s="16">
        <v>35.0</v>
      </c>
      <c r="AH19" s="16">
        <v>70.0</v>
      </c>
      <c r="AI19" s="16">
        <v>56.4965</v>
      </c>
      <c r="AJ19" s="16">
        <v>18.0</v>
      </c>
      <c r="AK19" s="16">
        <v>50.0</v>
      </c>
      <c r="AL19" s="17">
        <v>34.096</v>
      </c>
      <c r="AM19" s="18">
        <v>12.0</v>
      </c>
      <c r="AN19" s="19">
        <v>80.0</v>
      </c>
      <c r="AO19" s="20">
        <v>36.34170568671412</v>
      </c>
    </row>
    <row r="20" ht="15.75" customHeight="1">
      <c r="A20" s="14" t="s">
        <v>35</v>
      </c>
      <c r="B20" s="15" t="s">
        <v>19</v>
      </c>
      <c r="C20" s="16">
        <v>38.0</v>
      </c>
      <c r="D20" s="16">
        <v>40.0</v>
      </c>
      <c r="E20" s="16">
        <v>39.0</v>
      </c>
      <c r="F20" s="16">
        <v>45.0</v>
      </c>
      <c r="G20" s="16">
        <v>100.0</v>
      </c>
      <c r="H20" s="16">
        <v>80.625</v>
      </c>
      <c r="I20" s="16">
        <v>70.0</v>
      </c>
      <c r="J20" s="16">
        <v>100.0</v>
      </c>
      <c r="K20" s="16">
        <v>83.115652173913</v>
      </c>
      <c r="L20" s="16">
        <v>70.0</v>
      </c>
      <c r="M20" s="16">
        <v>100.0</v>
      </c>
      <c r="N20" s="16">
        <v>91.1842105263158</v>
      </c>
      <c r="O20" s="16">
        <v>70.0</v>
      </c>
      <c r="P20" s="16">
        <v>100.0</v>
      </c>
      <c r="Q20" s="16">
        <v>84.53125</v>
      </c>
      <c r="R20" s="16">
        <v>50.0</v>
      </c>
      <c r="S20" s="16">
        <v>80.0</v>
      </c>
      <c r="T20" s="16">
        <v>62.834</v>
      </c>
      <c r="U20" s="16">
        <v>65.0</v>
      </c>
      <c r="V20" s="16">
        <v>100.0</v>
      </c>
      <c r="W20" s="16">
        <v>76.3092857142857</v>
      </c>
      <c r="X20" s="16">
        <v>28.0</v>
      </c>
      <c r="Y20" s="16">
        <v>420.0</v>
      </c>
      <c r="Z20" s="16">
        <v>55.2034782608696</v>
      </c>
      <c r="AA20" s="16">
        <v>30.0</v>
      </c>
      <c r="AB20" s="16">
        <v>55.0</v>
      </c>
      <c r="AC20" s="16">
        <v>39.7895833333333</v>
      </c>
      <c r="AD20" s="16">
        <v>30.0</v>
      </c>
      <c r="AE20" s="16">
        <v>42.0</v>
      </c>
      <c r="AF20" s="16">
        <v>35.2261904761905</v>
      </c>
      <c r="AG20" s="16">
        <v>26.0</v>
      </c>
      <c r="AH20" s="16">
        <v>52.0</v>
      </c>
      <c r="AI20" s="16">
        <v>38.9085</v>
      </c>
      <c r="AJ20" s="16">
        <v>18.0</v>
      </c>
      <c r="AK20" s="16">
        <v>50.0</v>
      </c>
      <c r="AL20" s="17">
        <v>27.7812</v>
      </c>
      <c r="AM20" s="18">
        <v>18.0</v>
      </c>
      <c r="AN20" s="19">
        <v>420.0</v>
      </c>
      <c r="AO20" s="20">
        <v>59.54236254040899</v>
      </c>
    </row>
    <row r="21" ht="15.75" customHeight="1">
      <c r="A21" s="14" t="s">
        <v>36</v>
      </c>
      <c r="B21" s="15" t="s">
        <v>19</v>
      </c>
      <c r="C21" s="16"/>
      <c r="D21" s="16"/>
      <c r="E21" s="16"/>
      <c r="F21" s="16">
        <v>40.0</v>
      </c>
      <c r="G21" s="16">
        <v>80.0</v>
      </c>
      <c r="H21" s="16">
        <v>60.2238461538462</v>
      </c>
      <c r="I21" s="16">
        <v>25.0</v>
      </c>
      <c r="J21" s="16">
        <v>80.0</v>
      </c>
      <c r="K21" s="16">
        <v>38.3232</v>
      </c>
      <c r="L21" s="16">
        <v>28.0</v>
      </c>
      <c r="M21" s="16">
        <v>55.0</v>
      </c>
      <c r="N21" s="16">
        <v>41.7685185185185</v>
      </c>
      <c r="O21" s="16">
        <v>28.0</v>
      </c>
      <c r="P21" s="16">
        <v>45.0</v>
      </c>
      <c r="Q21" s="16">
        <v>37.8830434782609</v>
      </c>
      <c r="R21" s="16">
        <v>26.0</v>
      </c>
      <c r="S21" s="16">
        <v>50.0</v>
      </c>
      <c r="T21" s="16">
        <v>40.3429411764706</v>
      </c>
      <c r="U21" s="16">
        <v>28.0</v>
      </c>
      <c r="V21" s="16">
        <v>40.0</v>
      </c>
      <c r="W21" s="16">
        <v>32.1653333333333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25.0</v>
      </c>
      <c r="AN21" s="19">
        <v>80.0</v>
      </c>
      <c r="AO21" s="20">
        <v>41.78448044340492</v>
      </c>
    </row>
    <row r="22" ht="15.75" customHeight="1">
      <c r="A22" s="14" t="s">
        <v>37</v>
      </c>
      <c r="B22" s="15" t="s">
        <v>19</v>
      </c>
      <c r="C22" s="16">
        <v>18.0</v>
      </c>
      <c r="D22" s="16">
        <v>50.0</v>
      </c>
      <c r="E22" s="16">
        <v>32.8465217391304</v>
      </c>
      <c r="F22" s="16">
        <v>10.0</v>
      </c>
      <c r="G22" s="16">
        <v>24.0</v>
      </c>
      <c r="H22" s="16">
        <v>15.736</v>
      </c>
      <c r="I22" s="16">
        <v>8.0</v>
      </c>
      <c r="J22" s="16">
        <v>44.0</v>
      </c>
      <c r="K22" s="16">
        <v>22.176</v>
      </c>
      <c r="L22" s="16">
        <v>12.0</v>
      </c>
      <c r="M22" s="16">
        <v>26.0</v>
      </c>
      <c r="N22" s="16">
        <v>19.2</v>
      </c>
      <c r="O22" s="16">
        <v>18.0</v>
      </c>
      <c r="P22" s="16">
        <v>28.0</v>
      </c>
      <c r="Q22" s="16">
        <v>23.7652173913043</v>
      </c>
      <c r="R22" s="16">
        <v>18.0</v>
      </c>
      <c r="S22" s="16">
        <v>50.0</v>
      </c>
      <c r="T22" s="16">
        <v>33.1289473684211</v>
      </c>
      <c r="U22" s="16">
        <v>32.0</v>
      </c>
      <c r="V22" s="16">
        <v>50.0</v>
      </c>
      <c r="W22" s="16">
        <v>40.7812</v>
      </c>
      <c r="X22" s="16">
        <v>30.0</v>
      </c>
      <c r="Y22" s="16">
        <v>40.0</v>
      </c>
      <c r="Z22" s="16">
        <v>34.848</v>
      </c>
      <c r="AA22" s="16">
        <v>32.0</v>
      </c>
      <c r="AB22" s="16">
        <v>56.0</v>
      </c>
      <c r="AC22" s="16">
        <v>45.6245833333333</v>
      </c>
      <c r="AD22" s="16">
        <v>54.0</v>
      </c>
      <c r="AE22" s="16">
        <v>120.0</v>
      </c>
      <c r="AF22" s="16">
        <v>70.76125</v>
      </c>
      <c r="AG22" s="16">
        <v>35.0</v>
      </c>
      <c r="AH22" s="16">
        <v>140.0</v>
      </c>
      <c r="AI22" s="16">
        <v>97.1671428571429</v>
      </c>
      <c r="AJ22" s="16">
        <v>45.0</v>
      </c>
      <c r="AK22" s="16">
        <v>80.0</v>
      </c>
      <c r="AL22" s="17">
        <v>65.01375</v>
      </c>
      <c r="AM22" s="18">
        <v>8.0</v>
      </c>
      <c r="AN22" s="19">
        <v>140.0</v>
      </c>
      <c r="AO22" s="20">
        <v>41.754051057444336</v>
      </c>
    </row>
    <row r="23" ht="15.75" customHeight="1">
      <c r="A23" s="14" t="s">
        <v>38</v>
      </c>
      <c r="B23" s="15" t="s">
        <v>19</v>
      </c>
      <c r="C23" s="16">
        <v>12.0</v>
      </c>
      <c r="D23" s="16">
        <v>24.0</v>
      </c>
      <c r="E23" s="16">
        <v>16.8608695652174</v>
      </c>
      <c r="F23" s="16">
        <v>10.0</v>
      </c>
      <c r="G23" s="16">
        <v>20.0</v>
      </c>
      <c r="H23" s="16">
        <v>14.5892</v>
      </c>
      <c r="I23" s="16">
        <v>5.0</v>
      </c>
      <c r="J23" s="16">
        <v>48.0</v>
      </c>
      <c r="K23" s="16">
        <v>22.336</v>
      </c>
      <c r="L23" s="16">
        <v>10.0</v>
      </c>
      <c r="M23" s="16">
        <v>30.0</v>
      </c>
      <c r="N23" s="16">
        <v>20.8740740740741</v>
      </c>
      <c r="O23" s="16">
        <v>20.0</v>
      </c>
      <c r="P23" s="16">
        <v>30.0</v>
      </c>
      <c r="Q23" s="16">
        <v>23.904347826087</v>
      </c>
      <c r="R23" s="16">
        <v>20.0</v>
      </c>
      <c r="S23" s="16">
        <v>36.0</v>
      </c>
      <c r="T23" s="16">
        <v>27.5805263157895</v>
      </c>
      <c r="U23" s="16">
        <v>18.0</v>
      </c>
      <c r="V23" s="16">
        <v>35.0</v>
      </c>
      <c r="W23" s="16">
        <v>25.9972</v>
      </c>
      <c r="X23" s="16">
        <v>20.0</v>
      </c>
      <c r="Y23" s="16">
        <v>336.0</v>
      </c>
      <c r="Z23" s="16">
        <v>34.7924</v>
      </c>
      <c r="AA23" s="16">
        <v>18.0</v>
      </c>
      <c r="AB23" s="16">
        <v>32.0</v>
      </c>
      <c r="AC23" s="16">
        <v>26.9533333333333</v>
      </c>
      <c r="AD23" s="16">
        <v>25.0</v>
      </c>
      <c r="AE23" s="16">
        <v>40.0</v>
      </c>
      <c r="AF23" s="16">
        <v>33.792380952381</v>
      </c>
      <c r="AG23" s="16">
        <v>30.0</v>
      </c>
      <c r="AH23" s="16">
        <v>40.0</v>
      </c>
      <c r="AI23" s="16">
        <v>35.5955555555556</v>
      </c>
      <c r="AJ23" s="16">
        <v>16.0</v>
      </c>
      <c r="AK23" s="16">
        <v>36.0</v>
      </c>
      <c r="AL23" s="17">
        <v>26.41</v>
      </c>
      <c r="AM23" s="18">
        <v>5.0</v>
      </c>
      <c r="AN23" s="19">
        <v>336.0</v>
      </c>
      <c r="AO23" s="20">
        <v>25.807157301869825</v>
      </c>
    </row>
    <row r="24" ht="15.75" customHeight="1">
      <c r="A24" s="14" t="s">
        <v>39</v>
      </c>
      <c r="B24" s="15" t="s">
        <v>19</v>
      </c>
      <c r="C24" s="16">
        <v>20.0</v>
      </c>
      <c r="D24" s="16">
        <v>50.0</v>
      </c>
      <c r="E24" s="16">
        <v>30.7454545454545</v>
      </c>
      <c r="F24" s="16">
        <v>18.0</v>
      </c>
      <c r="G24" s="16">
        <v>30.0</v>
      </c>
      <c r="H24" s="16">
        <v>23.0932</v>
      </c>
      <c r="I24" s="16">
        <v>18.0</v>
      </c>
      <c r="J24" s="16">
        <v>65.0</v>
      </c>
      <c r="K24" s="16">
        <v>36.5075</v>
      </c>
      <c r="L24" s="16">
        <v>26.0</v>
      </c>
      <c r="M24" s="16">
        <v>50.0</v>
      </c>
      <c r="N24" s="16">
        <v>35.6677777777778</v>
      </c>
      <c r="O24" s="16">
        <v>40.0</v>
      </c>
      <c r="P24" s="16">
        <v>62.0</v>
      </c>
      <c r="Q24" s="16">
        <v>50.0031818181818</v>
      </c>
      <c r="R24" s="16">
        <v>30.0</v>
      </c>
      <c r="S24" s="16">
        <v>60.0</v>
      </c>
      <c r="T24" s="16">
        <v>47.6031578947368</v>
      </c>
      <c r="U24" s="16">
        <v>34.0</v>
      </c>
      <c r="V24" s="16">
        <v>70.0</v>
      </c>
      <c r="W24" s="16">
        <v>51.7816666666667</v>
      </c>
      <c r="X24" s="16">
        <v>28.0</v>
      </c>
      <c r="Y24" s="16">
        <v>45.0</v>
      </c>
      <c r="Z24" s="16">
        <v>34.6544</v>
      </c>
      <c r="AA24" s="16">
        <v>38.0</v>
      </c>
      <c r="AB24" s="16">
        <v>75.0</v>
      </c>
      <c r="AC24" s="16">
        <v>63.3386363636364</v>
      </c>
      <c r="AD24" s="16">
        <v>110.0</v>
      </c>
      <c r="AE24" s="16">
        <v>160.0</v>
      </c>
      <c r="AF24" s="16">
        <v>134.445</v>
      </c>
      <c r="AG24" s="16">
        <v>75.0</v>
      </c>
      <c r="AH24" s="16">
        <v>200.0</v>
      </c>
      <c r="AI24" s="16">
        <v>118.9285714285714</v>
      </c>
      <c r="AJ24" s="16">
        <v>35.0</v>
      </c>
      <c r="AK24" s="16">
        <v>70.0</v>
      </c>
      <c r="AL24" s="17">
        <v>50.1096</v>
      </c>
      <c r="AM24" s="18">
        <v>18.0</v>
      </c>
      <c r="AN24" s="19">
        <v>200.0</v>
      </c>
      <c r="AO24" s="20">
        <v>56.40651220791879</v>
      </c>
    </row>
    <row r="25" ht="15.75" customHeight="1">
      <c r="A25" s="14" t="s">
        <v>40</v>
      </c>
      <c r="B25" s="15" t="s">
        <v>19</v>
      </c>
      <c r="C25" s="16">
        <v>38.0</v>
      </c>
      <c r="D25" s="16">
        <v>50.0</v>
      </c>
      <c r="E25" s="16">
        <v>41.8888888888889</v>
      </c>
      <c r="F25" s="16">
        <v>22.0</v>
      </c>
      <c r="G25" s="16">
        <v>40.0</v>
      </c>
      <c r="H25" s="16">
        <v>29.3845454545455</v>
      </c>
      <c r="I25" s="16">
        <v>12.0</v>
      </c>
      <c r="J25" s="16">
        <v>42.0</v>
      </c>
      <c r="K25" s="16">
        <v>23.0588</v>
      </c>
      <c r="L25" s="16">
        <v>8.0</v>
      </c>
      <c r="M25" s="16">
        <v>151.0</v>
      </c>
      <c r="N25" s="16">
        <v>20.3444444444444</v>
      </c>
      <c r="O25" s="16">
        <v>18.0</v>
      </c>
      <c r="P25" s="16">
        <v>28.0</v>
      </c>
      <c r="Q25" s="16">
        <v>22.695652173913</v>
      </c>
      <c r="R25" s="16">
        <v>18.0</v>
      </c>
      <c r="S25" s="16">
        <v>28.0</v>
      </c>
      <c r="T25" s="16">
        <v>22.1935294117647</v>
      </c>
      <c r="U25" s="16">
        <v>18.0</v>
      </c>
      <c r="V25" s="16">
        <v>54.0</v>
      </c>
      <c r="W25" s="16">
        <v>24.4692307692308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>
        <v>45.0</v>
      </c>
      <c r="AH25" s="16">
        <v>60.0</v>
      </c>
      <c r="AI25" s="16">
        <v>53.5</v>
      </c>
      <c r="AJ25" s="16"/>
      <c r="AK25" s="16"/>
      <c r="AL25" s="17"/>
      <c r="AM25" s="18">
        <v>8.0</v>
      </c>
      <c r="AN25" s="19">
        <v>151.0</v>
      </c>
      <c r="AO25" s="20">
        <v>29.69188639284841</v>
      </c>
    </row>
    <row r="26" ht="15.75" customHeight="1">
      <c r="A26" s="14" t="s">
        <v>41</v>
      </c>
      <c r="B26" s="15" t="s">
        <v>19</v>
      </c>
      <c r="C26" s="16">
        <v>26.0</v>
      </c>
      <c r="D26" s="16">
        <v>65.0</v>
      </c>
      <c r="E26" s="16">
        <v>43.825</v>
      </c>
      <c r="F26" s="16">
        <v>14.0</v>
      </c>
      <c r="G26" s="16">
        <v>34.0</v>
      </c>
      <c r="H26" s="16">
        <v>21.1372</v>
      </c>
      <c r="I26" s="16">
        <v>14.0</v>
      </c>
      <c r="J26" s="16">
        <v>54.0</v>
      </c>
      <c r="K26" s="16">
        <v>27.88</v>
      </c>
      <c r="L26" s="16">
        <v>12.0</v>
      </c>
      <c r="M26" s="16">
        <v>30.0</v>
      </c>
      <c r="N26" s="16">
        <v>20.7851851851852</v>
      </c>
      <c r="O26" s="16">
        <v>16.0</v>
      </c>
      <c r="P26" s="16">
        <v>28.0</v>
      </c>
      <c r="Q26" s="16">
        <v>21.6086956521739</v>
      </c>
      <c r="R26" s="16">
        <v>18.0</v>
      </c>
      <c r="S26" s="16">
        <v>35.0</v>
      </c>
      <c r="T26" s="16">
        <v>25.6526315789474</v>
      </c>
      <c r="U26" s="16">
        <v>20.0</v>
      </c>
      <c r="V26" s="16">
        <v>50.0</v>
      </c>
      <c r="W26" s="16">
        <v>32.2405263157895</v>
      </c>
      <c r="X26" s="16">
        <v>45.0</v>
      </c>
      <c r="Y26" s="16">
        <v>75.0</v>
      </c>
      <c r="Z26" s="16">
        <v>56.0</v>
      </c>
      <c r="AA26" s="16">
        <v>70.0</v>
      </c>
      <c r="AB26" s="16">
        <v>75.0</v>
      </c>
      <c r="AC26" s="16">
        <v>72.5</v>
      </c>
      <c r="AD26" s="16"/>
      <c r="AE26" s="16"/>
      <c r="AF26" s="16"/>
      <c r="AG26" s="16">
        <v>55.0</v>
      </c>
      <c r="AH26" s="16">
        <v>120.0</v>
      </c>
      <c r="AI26" s="16">
        <v>77.0</v>
      </c>
      <c r="AJ26" s="16">
        <v>38.0</v>
      </c>
      <c r="AK26" s="16">
        <v>60.0</v>
      </c>
      <c r="AL26" s="17">
        <v>47.6264</v>
      </c>
      <c r="AM26" s="18">
        <v>12.0</v>
      </c>
      <c r="AN26" s="19">
        <v>120.0</v>
      </c>
      <c r="AO26" s="20">
        <v>40.56869443019054</v>
      </c>
    </row>
    <row r="27" ht="15.75" customHeight="1">
      <c r="A27" s="14" t="s">
        <v>42</v>
      </c>
      <c r="B27" s="15" t="s">
        <v>19</v>
      </c>
      <c r="C27" s="16">
        <v>25.0</v>
      </c>
      <c r="D27" s="16">
        <v>44.0</v>
      </c>
      <c r="E27" s="16">
        <v>36.422</v>
      </c>
      <c r="F27" s="16">
        <v>22.0</v>
      </c>
      <c r="G27" s="16">
        <v>50.0</v>
      </c>
      <c r="H27" s="16">
        <v>26.4811111111111</v>
      </c>
      <c r="I27" s="16">
        <v>20.0</v>
      </c>
      <c r="J27" s="16">
        <v>45.0</v>
      </c>
      <c r="K27" s="16">
        <v>34.8883333333333</v>
      </c>
      <c r="L27" s="16">
        <v>16.0</v>
      </c>
      <c r="M27" s="16">
        <v>28.0</v>
      </c>
      <c r="N27" s="16">
        <v>20.3962962962963</v>
      </c>
      <c r="O27" s="16">
        <v>18.0</v>
      </c>
      <c r="P27" s="16">
        <v>34.0</v>
      </c>
      <c r="Q27" s="16">
        <v>24.0952173913043</v>
      </c>
      <c r="R27" s="16">
        <v>30.0</v>
      </c>
      <c r="S27" s="16">
        <v>40.0</v>
      </c>
      <c r="T27" s="16">
        <v>35.6428571428571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7"/>
      <c r="AM27" s="18">
        <v>16.0</v>
      </c>
      <c r="AN27" s="19">
        <v>50.0</v>
      </c>
      <c r="AO27" s="20">
        <v>29.654302545817014</v>
      </c>
    </row>
    <row r="28" ht="15.75" customHeight="1">
      <c r="A28" s="14" t="s">
        <v>43</v>
      </c>
      <c r="B28" s="15" t="s">
        <v>19</v>
      </c>
      <c r="C28" s="16">
        <v>18.0</v>
      </c>
      <c r="D28" s="16">
        <v>24.0</v>
      </c>
      <c r="E28" s="16">
        <v>20.5365217391304</v>
      </c>
      <c r="F28" s="16">
        <v>16.0</v>
      </c>
      <c r="G28" s="16">
        <v>20.0</v>
      </c>
      <c r="H28" s="16">
        <v>19.0316</v>
      </c>
      <c r="I28" s="16">
        <v>12.0</v>
      </c>
      <c r="J28" s="16">
        <v>22.0</v>
      </c>
      <c r="K28" s="16">
        <v>17.7524</v>
      </c>
      <c r="L28" s="16">
        <v>14.0</v>
      </c>
      <c r="M28" s="16">
        <v>24.0</v>
      </c>
      <c r="N28" s="16">
        <v>19.0485185185185</v>
      </c>
      <c r="O28" s="16">
        <v>20.0</v>
      </c>
      <c r="P28" s="16">
        <v>28.0</v>
      </c>
      <c r="Q28" s="16">
        <v>24.8186956521739</v>
      </c>
      <c r="R28" s="16">
        <v>18.0</v>
      </c>
      <c r="S28" s="16">
        <v>28.0</v>
      </c>
      <c r="T28" s="16">
        <v>24.2105263157895</v>
      </c>
      <c r="U28" s="16">
        <v>12.0</v>
      </c>
      <c r="V28" s="16">
        <v>26.0</v>
      </c>
      <c r="W28" s="16">
        <v>18.8452</v>
      </c>
      <c r="X28" s="16">
        <v>12.0</v>
      </c>
      <c r="Y28" s="16">
        <v>20.0</v>
      </c>
      <c r="Z28" s="16">
        <v>16.3632</v>
      </c>
      <c r="AA28" s="16">
        <v>12.0</v>
      </c>
      <c r="AB28" s="16">
        <v>20.0</v>
      </c>
      <c r="AC28" s="16">
        <v>15.9458333333333</v>
      </c>
      <c r="AD28" s="16">
        <v>12.0</v>
      </c>
      <c r="AE28" s="16">
        <v>18.0</v>
      </c>
      <c r="AF28" s="16">
        <v>15.0638095238095</v>
      </c>
      <c r="AG28" s="16">
        <v>15.0</v>
      </c>
      <c r="AH28" s="16">
        <v>24.0</v>
      </c>
      <c r="AI28" s="16">
        <v>19.008</v>
      </c>
      <c r="AJ28" s="16">
        <v>18.0</v>
      </c>
      <c r="AK28" s="16">
        <v>25.0</v>
      </c>
      <c r="AL28" s="17">
        <v>20.2764</v>
      </c>
      <c r="AM28" s="18">
        <v>12.0</v>
      </c>
      <c r="AN28" s="19">
        <v>28.0</v>
      </c>
      <c r="AO28" s="20">
        <v>19.241725423562922</v>
      </c>
    </row>
    <row r="29" ht="15.75" customHeight="1">
      <c r="A29" s="14" t="s">
        <v>44</v>
      </c>
      <c r="B29" s="15" t="s">
        <v>19</v>
      </c>
      <c r="C29" s="16">
        <v>5.0</v>
      </c>
      <c r="D29" s="16">
        <v>18.0</v>
      </c>
      <c r="E29" s="16">
        <v>10.8521739130435</v>
      </c>
      <c r="F29" s="16">
        <v>7.0</v>
      </c>
      <c r="G29" s="16">
        <v>20.0</v>
      </c>
      <c r="H29" s="16">
        <v>12.608</v>
      </c>
      <c r="I29" s="16">
        <v>8.0</v>
      </c>
      <c r="J29" s="16">
        <v>40.0</v>
      </c>
      <c r="K29" s="16">
        <v>22.1033333333333</v>
      </c>
      <c r="L29" s="16">
        <v>18.0</v>
      </c>
      <c r="M29" s="16">
        <v>42.0</v>
      </c>
      <c r="N29" s="16">
        <v>29.5440740740741</v>
      </c>
      <c r="O29" s="16">
        <v>12.0</v>
      </c>
      <c r="P29" s="16">
        <v>36.0</v>
      </c>
      <c r="Q29" s="16">
        <v>24.2030434782609</v>
      </c>
      <c r="R29" s="16">
        <v>12.0</v>
      </c>
      <c r="S29" s="16">
        <v>30.0</v>
      </c>
      <c r="T29" s="16">
        <v>21.3657894736842</v>
      </c>
      <c r="U29" s="16">
        <v>15.0</v>
      </c>
      <c r="V29" s="16">
        <v>42.0</v>
      </c>
      <c r="W29" s="16">
        <v>28.51625</v>
      </c>
      <c r="X29" s="16">
        <v>5.0</v>
      </c>
      <c r="Y29" s="16">
        <v>38.0</v>
      </c>
      <c r="Z29" s="16">
        <v>17.1748</v>
      </c>
      <c r="AA29" s="16">
        <v>8.0</v>
      </c>
      <c r="AB29" s="16">
        <v>20.0</v>
      </c>
      <c r="AC29" s="16">
        <v>15.6304166666667</v>
      </c>
      <c r="AD29" s="16">
        <v>16.0</v>
      </c>
      <c r="AE29" s="16">
        <v>40.0</v>
      </c>
      <c r="AF29" s="16">
        <v>24.7747619047619</v>
      </c>
      <c r="AG29" s="16">
        <v>10.0</v>
      </c>
      <c r="AH29" s="16">
        <v>36.0</v>
      </c>
      <c r="AI29" s="16">
        <v>24.236</v>
      </c>
      <c r="AJ29" s="16">
        <v>8.0</v>
      </c>
      <c r="AK29" s="16">
        <v>18.0</v>
      </c>
      <c r="AL29" s="17">
        <v>12.68</v>
      </c>
      <c r="AM29" s="18">
        <v>5.0</v>
      </c>
      <c r="AN29" s="19">
        <v>42.0</v>
      </c>
      <c r="AO29" s="20">
        <v>20.30738690365205</v>
      </c>
    </row>
    <row r="30" ht="15.75" customHeight="1">
      <c r="A30" s="14" t="s">
        <v>45</v>
      </c>
      <c r="B30" s="15" t="s">
        <v>19</v>
      </c>
      <c r="C30" s="16">
        <v>24.0</v>
      </c>
      <c r="D30" s="16">
        <v>35.0</v>
      </c>
      <c r="E30" s="16">
        <v>28.9955</v>
      </c>
      <c r="F30" s="16">
        <v>24.0</v>
      </c>
      <c r="G30" s="16">
        <v>30.0</v>
      </c>
      <c r="H30" s="16">
        <v>27.9433333333333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30.0</v>
      </c>
      <c r="V30" s="16">
        <v>55.0</v>
      </c>
      <c r="W30" s="16">
        <v>38.0927777777778</v>
      </c>
      <c r="X30" s="16">
        <v>25.0</v>
      </c>
      <c r="Y30" s="16">
        <v>40.0</v>
      </c>
      <c r="Z30" s="16">
        <v>31.9634782608696</v>
      </c>
      <c r="AA30" s="16">
        <v>20.0</v>
      </c>
      <c r="AB30" s="16">
        <v>35.0</v>
      </c>
      <c r="AC30" s="16">
        <v>27.1645833333333</v>
      </c>
      <c r="AD30" s="16">
        <v>20.0</v>
      </c>
      <c r="AE30" s="16">
        <v>30.0</v>
      </c>
      <c r="AF30" s="16">
        <v>27.25</v>
      </c>
      <c r="AG30" s="16">
        <v>25.0</v>
      </c>
      <c r="AH30" s="16">
        <v>30.0</v>
      </c>
      <c r="AI30" s="16">
        <v>27.217</v>
      </c>
      <c r="AJ30" s="16">
        <v>25.0</v>
      </c>
      <c r="AK30" s="16">
        <v>40.0</v>
      </c>
      <c r="AL30" s="17">
        <v>29.4092</v>
      </c>
      <c r="AM30" s="18">
        <v>20.0</v>
      </c>
      <c r="AN30" s="19">
        <v>55.0</v>
      </c>
      <c r="AO30" s="20">
        <v>29.754484088164247</v>
      </c>
    </row>
    <row r="31" ht="15.75" customHeight="1">
      <c r="A31" s="14" t="s">
        <v>46</v>
      </c>
      <c r="B31" s="15" t="s">
        <v>19</v>
      </c>
      <c r="C31" s="16">
        <v>15.0</v>
      </c>
      <c r="D31" s="16">
        <v>55.0</v>
      </c>
      <c r="E31" s="16">
        <v>32.3931818181818</v>
      </c>
      <c r="F31" s="16">
        <v>13.0</v>
      </c>
      <c r="G31" s="16">
        <v>34.0</v>
      </c>
      <c r="H31" s="16">
        <v>20.972</v>
      </c>
      <c r="I31" s="16">
        <v>14.0</v>
      </c>
      <c r="J31" s="16">
        <v>42.0</v>
      </c>
      <c r="K31" s="16">
        <v>26.728</v>
      </c>
      <c r="L31" s="16">
        <v>10.0</v>
      </c>
      <c r="M31" s="16">
        <v>24.0</v>
      </c>
      <c r="N31" s="16">
        <v>17.3555555555556</v>
      </c>
      <c r="O31" s="16">
        <v>16.0</v>
      </c>
      <c r="P31" s="16">
        <v>42.0</v>
      </c>
      <c r="Q31" s="16">
        <v>31.845652173913</v>
      </c>
      <c r="R31" s="16">
        <v>32.0</v>
      </c>
      <c r="S31" s="16">
        <v>55.0</v>
      </c>
      <c r="T31" s="16">
        <v>44.4573684210526</v>
      </c>
      <c r="U31" s="16">
        <v>40.0</v>
      </c>
      <c r="V31" s="16">
        <v>65.0</v>
      </c>
      <c r="W31" s="16">
        <v>55.3008333333333</v>
      </c>
      <c r="X31" s="16">
        <v>40.0</v>
      </c>
      <c r="Y31" s="16">
        <v>65.0</v>
      </c>
      <c r="Z31" s="16">
        <v>55.5968</v>
      </c>
      <c r="AA31" s="16">
        <v>50.0</v>
      </c>
      <c r="AB31" s="16">
        <v>80.0</v>
      </c>
      <c r="AC31" s="16">
        <v>59.7044444444444</v>
      </c>
      <c r="AD31" s="16">
        <v>70.0</v>
      </c>
      <c r="AE31" s="16">
        <v>100.0</v>
      </c>
      <c r="AF31" s="16">
        <v>85.625</v>
      </c>
      <c r="AG31" s="16">
        <v>50.0</v>
      </c>
      <c r="AH31" s="16">
        <v>100.0</v>
      </c>
      <c r="AI31" s="16">
        <v>69.059</v>
      </c>
      <c r="AJ31" s="16">
        <v>50.0</v>
      </c>
      <c r="AK31" s="16">
        <v>80.0</v>
      </c>
      <c r="AL31" s="17">
        <v>63.98</v>
      </c>
      <c r="AM31" s="18">
        <v>10.0</v>
      </c>
      <c r="AN31" s="19">
        <v>100.0</v>
      </c>
      <c r="AO31" s="20">
        <v>46.91815297887339</v>
      </c>
    </row>
    <row r="32" ht="15.75" customHeight="1">
      <c r="A32" s="14" t="s">
        <v>47</v>
      </c>
      <c r="B32" s="15" t="s">
        <v>19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20.0</v>
      </c>
      <c r="V32" s="16">
        <v>36.0</v>
      </c>
      <c r="W32" s="16">
        <v>25.4191666666667</v>
      </c>
      <c r="X32" s="16">
        <v>20.0</v>
      </c>
      <c r="Y32" s="16">
        <v>40.0</v>
      </c>
      <c r="Z32" s="16">
        <v>28.0236363636364</v>
      </c>
      <c r="AA32" s="16">
        <v>20.0</v>
      </c>
      <c r="AB32" s="16">
        <v>40.0</v>
      </c>
      <c r="AC32" s="16">
        <v>34.4273913043478</v>
      </c>
      <c r="AD32" s="16">
        <v>32.0</v>
      </c>
      <c r="AE32" s="16">
        <v>50.0</v>
      </c>
      <c r="AF32" s="16">
        <v>39.3673333333333</v>
      </c>
      <c r="AG32" s="16">
        <v>30.0</v>
      </c>
      <c r="AH32" s="16">
        <v>50.0</v>
      </c>
      <c r="AI32" s="16">
        <v>42.1290909090909</v>
      </c>
      <c r="AJ32" s="16">
        <v>45.0</v>
      </c>
      <c r="AK32" s="16">
        <v>50.0</v>
      </c>
      <c r="AL32" s="17">
        <v>47.1666666666667</v>
      </c>
      <c r="AM32" s="18">
        <v>20.0</v>
      </c>
      <c r="AN32" s="19">
        <v>50.0</v>
      </c>
      <c r="AO32" s="20">
        <v>36.08888087395697</v>
      </c>
    </row>
    <row r="33" ht="15.75" customHeight="1">
      <c r="A33" s="14" t="s">
        <v>48</v>
      </c>
      <c r="B33" s="15" t="s">
        <v>19</v>
      </c>
      <c r="C33" s="16">
        <v>25.0</v>
      </c>
      <c r="D33" s="16">
        <v>40.0</v>
      </c>
      <c r="E33" s="16">
        <v>33.1221052631579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>
        <v>40.0</v>
      </c>
      <c r="S33" s="16">
        <v>70.0</v>
      </c>
      <c r="T33" s="16">
        <v>58.2023076923077</v>
      </c>
      <c r="U33" s="16">
        <v>20.0</v>
      </c>
      <c r="V33" s="16">
        <v>60.0</v>
      </c>
      <c r="W33" s="16">
        <v>34.4264</v>
      </c>
      <c r="X33" s="16">
        <v>28.0</v>
      </c>
      <c r="Y33" s="16">
        <v>45.0</v>
      </c>
      <c r="Z33" s="16">
        <v>35.5973913043478</v>
      </c>
      <c r="AA33" s="16">
        <v>20.0</v>
      </c>
      <c r="AB33" s="16">
        <v>32.0</v>
      </c>
      <c r="AC33" s="16">
        <v>26.62625</v>
      </c>
      <c r="AD33" s="16">
        <v>20.0</v>
      </c>
      <c r="AE33" s="16">
        <v>38.0</v>
      </c>
      <c r="AF33" s="16">
        <v>27.7388888888889</v>
      </c>
      <c r="AG33" s="16">
        <v>30.0</v>
      </c>
      <c r="AH33" s="16">
        <v>48.0</v>
      </c>
      <c r="AI33" s="16">
        <v>37.1328571428571</v>
      </c>
      <c r="AJ33" s="16">
        <v>30.0</v>
      </c>
      <c r="AK33" s="16">
        <v>48.0</v>
      </c>
      <c r="AL33" s="17">
        <v>38.4868</v>
      </c>
      <c r="AM33" s="18">
        <v>20.0</v>
      </c>
      <c r="AN33" s="19">
        <v>70.0</v>
      </c>
      <c r="AO33" s="20">
        <v>36.41662503644493</v>
      </c>
    </row>
    <row r="34" ht="15.75" customHeight="1">
      <c r="A34" s="14" t="s">
        <v>49</v>
      </c>
      <c r="B34" s="15" t="s">
        <v>19</v>
      </c>
      <c r="C34" s="16">
        <v>32.0</v>
      </c>
      <c r="D34" s="16">
        <v>42.0</v>
      </c>
      <c r="E34" s="16">
        <v>35.9869230769231</v>
      </c>
      <c r="F34" s="16"/>
      <c r="G34" s="16"/>
      <c r="H34" s="16"/>
      <c r="I34" s="16">
        <v>30.0</v>
      </c>
      <c r="J34" s="16">
        <v>90.0</v>
      </c>
      <c r="K34" s="16">
        <v>43.2142857142857</v>
      </c>
      <c r="L34" s="16">
        <v>24.0</v>
      </c>
      <c r="M34" s="16">
        <v>36.0</v>
      </c>
      <c r="N34" s="16">
        <v>29.055</v>
      </c>
      <c r="O34" s="16">
        <v>22.0</v>
      </c>
      <c r="P34" s="16">
        <v>30.0</v>
      </c>
      <c r="Q34" s="16">
        <v>26.5213043478261</v>
      </c>
      <c r="R34" s="16">
        <v>20.0</v>
      </c>
      <c r="S34" s="16">
        <v>28.0</v>
      </c>
      <c r="T34" s="16">
        <v>24.1926315789474</v>
      </c>
      <c r="U34" s="16">
        <v>18.0</v>
      </c>
      <c r="V34" s="16">
        <v>38.0</v>
      </c>
      <c r="W34" s="16">
        <v>27.5228</v>
      </c>
      <c r="X34" s="16">
        <v>18.0</v>
      </c>
      <c r="Y34" s="16">
        <v>36.0</v>
      </c>
      <c r="Z34" s="16">
        <v>28.1529166666667</v>
      </c>
      <c r="AA34" s="16">
        <v>25.0</v>
      </c>
      <c r="AB34" s="16">
        <v>35.0</v>
      </c>
      <c r="AC34" s="16">
        <v>29.95625</v>
      </c>
      <c r="AD34" s="16">
        <v>24.0</v>
      </c>
      <c r="AE34" s="16">
        <v>32.0</v>
      </c>
      <c r="AF34" s="16">
        <v>29.8333333333333</v>
      </c>
      <c r="AG34" s="16">
        <v>22.0</v>
      </c>
      <c r="AH34" s="16">
        <v>32.0</v>
      </c>
      <c r="AI34" s="16">
        <v>27.214</v>
      </c>
      <c r="AJ34" s="16">
        <v>24.0</v>
      </c>
      <c r="AK34" s="16">
        <v>32.0</v>
      </c>
      <c r="AL34" s="17">
        <v>28.2708333333333</v>
      </c>
      <c r="AM34" s="18">
        <v>18.0</v>
      </c>
      <c r="AN34" s="19">
        <v>90.0</v>
      </c>
      <c r="AO34" s="20">
        <v>29.9927525501196</v>
      </c>
    </row>
    <row r="35" ht="15.75" customHeight="1">
      <c r="A35" s="14" t="s">
        <v>50</v>
      </c>
      <c r="B35" s="15" t="s">
        <v>19</v>
      </c>
      <c r="C35" s="16">
        <v>16.0</v>
      </c>
      <c r="D35" s="16">
        <v>20.0</v>
      </c>
      <c r="E35" s="16">
        <v>18.7272727272727</v>
      </c>
      <c r="F35" s="16">
        <v>18.0</v>
      </c>
      <c r="G35" s="16">
        <v>40.0</v>
      </c>
      <c r="H35" s="16">
        <v>30.5483333333333</v>
      </c>
      <c r="I35" s="16">
        <v>24.0</v>
      </c>
      <c r="J35" s="16">
        <v>50.0</v>
      </c>
      <c r="K35" s="16">
        <v>33.1568</v>
      </c>
      <c r="L35" s="16">
        <v>20.0</v>
      </c>
      <c r="M35" s="16">
        <v>44.0</v>
      </c>
      <c r="N35" s="16">
        <v>32.328</v>
      </c>
      <c r="O35" s="16">
        <v>8.0</v>
      </c>
      <c r="P35" s="16">
        <v>24.0</v>
      </c>
      <c r="Q35" s="16">
        <v>15.9782608695652</v>
      </c>
      <c r="R35" s="16">
        <v>5.0</v>
      </c>
      <c r="S35" s="16">
        <v>12.0</v>
      </c>
      <c r="T35" s="16">
        <v>9.1789473684211</v>
      </c>
      <c r="U35" s="16">
        <v>5.0</v>
      </c>
      <c r="V35" s="16">
        <v>16.0</v>
      </c>
      <c r="W35" s="16">
        <v>9.4492</v>
      </c>
      <c r="X35" s="16">
        <v>7.0</v>
      </c>
      <c r="Y35" s="16">
        <v>15.0</v>
      </c>
      <c r="Z35" s="16">
        <v>10.07875</v>
      </c>
      <c r="AA35" s="16">
        <v>10.0</v>
      </c>
      <c r="AB35" s="16">
        <v>34.0</v>
      </c>
      <c r="AC35" s="16">
        <v>15.541</v>
      </c>
      <c r="AD35" s="16">
        <v>28.0</v>
      </c>
      <c r="AE35" s="16">
        <v>40.0</v>
      </c>
      <c r="AF35" s="16">
        <v>33.4994117647059</v>
      </c>
      <c r="AG35" s="16">
        <v>22.0</v>
      </c>
      <c r="AH35" s="16">
        <v>34.0</v>
      </c>
      <c r="AI35" s="16">
        <v>28.5915</v>
      </c>
      <c r="AJ35" s="16">
        <v>16.0</v>
      </c>
      <c r="AK35" s="16">
        <v>30.0</v>
      </c>
      <c r="AL35" s="17">
        <v>22.9973913043478</v>
      </c>
      <c r="AM35" s="18">
        <v>5.0</v>
      </c>
      <c r="AN35" s="19">
        <v>50.0</v>
      </c>
      <c r="AO35" s="20">
        <v>21.6729056139705</v>
      </c>
    </row>
    <row r="36" ht="15.75" customHeight="1">
      <c r="A36" s="14" t="s">
        <v>51</v>
      </c>
      <c r="B36" s="15" t="s">
        <v>19</v>
      </c>
      <c r="C36" s="16">
        <v>25.0</v>
      </c>
      <c r="D36" s="16">
        <v>45.0</v>
      </c>
      <c r="E36" s="16">
        <v>37.8960869565217</v>
      </c>
      <c r="F36" s="16">
        <v>25.0</v>
      </c>
      <c r="G36" s="16">
        <v>55.0</v>
      </c>
      <c r="H36" s="16">
        <v>36.9664</v>
      </c>
      <c r="I36" s="16">
        <v>25.0</v>
      </c>
      <c r="J36" s="16">
        <v>90.0</v>
      </c>
      <c r="K36" s="16">
        <v>45.252</v>
      </c>
      <c r="L36" s="16">
        <v>30.0</v>
      </c>
      <c r="M36" s="16">
        <v>60.0</v>
      </c>
      <c r="N36" s="16">
        <v>45.5177777777778</v>
      </c>
      <c r="O36" s="16">
        <v>20.0</v>
      </c>
      <c r="P36" s="16">
        <v>50.0</v>
      </c>
      <c r="Q36" s="16">
        <v>38.8218181818182</v>
      </c>
      <c r="R36" s="16">
        <v>25.0</v>
      </c>
      <c r="S36" s="16">
        <v>60.0</v>
      </c>
      <c r="T36" s="16">
        <v>42.2794736842105</v>
      </c>
      <c r="U36" s="16">
        <v>25.0</v>
      </c>
      <c r="V36" s="16">
        <v>55.0</v>
      </c>
      <c r="W36" s="16">
        <v>40.0524</v>
      </c>
      <c r="X36" s="16">
        <v>8.0</v>
      </c>
      <c r="Y36" s="16">
        <v>30.0</v>
      </c>
      <c r="Z36" s="16">
        <v>23.0212</v>
      </c>
      <c r="AA36" s="16">
        <v>14.0</v>
      </c>
      <c r="AB36" s="16">
        <v>30.0</v>
      </c>
      <c r="AC36" s="16">
        <v>20.3470833333333</v>
      </c>
      <c r="AD36" s="16">
        <v>18.0</v>
      </c>
      <c r="AE36" s="16">
        <v>40.0</v>
      </c>
      <c r="AF36" s="16">
        <v>26.299</v>
      </c>
      <c r="AG36" s="16">
        <v>15.0</v>
      </c>
      <c r="AH36" s="16">
        <v>25.0</v>
      </c>
      <c r="AI36" s="16">
        <v>18.215</v>
      </c>
      <c r="AJ36" s="16">
        <v>15.0</v>
      </c>
      <c r="AK36" s="16">
        <v>40.0</v>
      </c>
      <c r="AL36" s="17">
        <v>23.1328</v>
      </c>
      <c r="AM36" s="18">
        <v>8.0</v>
      </c>
      <c r="AN36" s="19">
        <v>90.0</v>
      </c>
      <c r="AO36" s="20">
        <v>33.15008666113846</v>
      </c>
    </row>
    <row r="37" ht="15.75" customHeight="1">
      <c r="A37" s="14" t="s">
        <v>52</v>
      </c>
      <c r="B37" s="15" t="s">
        <v>19</v>
      </c>
      <c r="C37" s="16">
        <v>30.0</v>
      </c>
      <c r="D37" s="16">
        <v>50.0</v>
      </c>
      <c r="E37" s="16">
        <v>41.594347826087</v>
      </c>
      <c r="F37" s="16">
        <v>30.0</v>
      </c>
      <c r="G37" s="16">
        <v>50.0</v>
      </c>
      <c r="H37" s="16">
        <v>41.5616666666667</v>
      </c>
      <c r="I37" s="16">
        <v>30.0</v>
      </c>
      <c r="J37" s="16">
        <v>100.0</v>
      </c>
      <c r="K37" s="16">
        <v>50.3332</v>
      </c>
      <c r="L37" s="16">
        <v>40.0</v>
      </c>
      <c r="M37" s="16">
        <v>65.0</v>
      </c>
      <c r="N37" s="16">
        <v>49.5981481481481</v>
      </c>
      <c r="O37" s="16">
        <v>35.0</v>
      </c>
      <c r="P37" s="16">
        <v>50.0</v>
      </c>
      <c r="Q37" s="16">
        <v>41.92</v>
      </c>
      <c r="R37" s="16">
        <v>25.0</v>
      </c>
      <c r="S37" s="16">
        <v>80.0</v>
      </c>
      <c r="T37" s="16">
        <v>52.1921052631579</v>
      </c>
      <c r="U37" s="16">
        <v>40.0</v>
      </c>
      <c r="V37" s="16">
        <v>85.0</v>
      </c>
      <c r="W37" s="16">
        <v>58.4664</v>
      </c>
      <c r="X37" s="16">
        <v>20.0</v>
      </c>
      <c r="Y37" s="16">
        <v>45.0</v>
      </c>
      <c r="Z37" s="16">
        <v>32.1328</v>
      </c>
      <c r="AA37" s="16">
        <v>20.0</v>
      </c>
      <c r="AB37" s="16">
        <v>35.0</v>
      </c>
      <c r="AC37" s="16">
        <v>30.4158333333333</v>
      </c>
      <c r="AD37" s="16">
        <v>25.0</v>
      </c>
      <c r="AE37" s="16">
        <v>40.0</v>
      </c>
      <c r="AF37" s="16">
        <v>33.0947619047619</v>
      </c>
      <c r="AG37" s="16">
        <v>20.0</v>
      </c>
      <c r="AH37" s="16">
        <v>30.0</v>
      </c>
      <c r="AI37" s="16">
        <v>24.332</v>
      </c>
      <c r="AJ37" s="16">
        <v>20.0</v>
      </c>
      <c r="AK37" s="16">
        <v>45.0</v>
      </c>
      <c r="AL37" s="17">
        <v>34.2652</v>
      </c>
      <c r="AM37" s="18">
        <v>20.0</v>
      </c>
      <c r="AN37" s="19">
        <v>100.0</v>
      </c>
      <c r="AO37" s="20">
        <v>40.82553859517957</v>
      </c>
    </row>
    <row r="38" ht="15.75" customHeight="1">
      <c r="A38" s="14" t="s">
        <v>53</v>
      </c>
      <c r="B38" s="15" t="s">
        <v>19</v>
      </c>
      <c r="C38" s="16">
        <v>30.0</v>
      </c>
      <c r="D38" s="16">
        <v>50.0</v>
      </c>
      <c r="E38" s="16">
        <v>42.7526086956522</v>
      </c>
      <c r="F38" s="16">
        <v>35.0</v>
      </c>
      <c r="G38" s="16">
        <v>50.0</v>
      </c>
      <c r="H38" s="16">
        <v>44.5</v>
      </c>
      <c r="I38" s="16">
        <v>45.0</v>
      </c>
      <c r="J38" s="16">
        <v>110.0</v>
      </c>
      <c r="K38" s="16">
        <v>57.2</v>
      </c>
      <c r="L38" s="16">
        <v>45.0</v>
      </c>
      <c r="M38" s="16">
        <v>70.0</v>
      </c>
      <c r="N38" s="16">
        <v>57.2211111111111</v>
      </c>
      <c r="O38" s="16">
        <v>40.0</v>
      </c>
      <c r="P38" s="16">
        <v>60.0</v>
      </c>
      <c r="Q38" s="16">
        <v>54.4105882352941</v>
      </c>
      <c r="R38" s="16">
        <v>40.0</v>
      </c>
      <c r="S38" s="16">
        <v>65.0</v>
      </c>
      <c r="T38" s="16">
        <v>51.665</v>
      </c>
      <c r="U38" s="16">
        <v>45.0</v>
      </c>
      <c r="V38" s="16">
        <v>82.0</v>
      </c>
      <c r="W38" s="16">
        <v>56.7724</v>
      </c>
      <c r="X38" s="16">
        <v>35.0</v>
      </c>
      <c r="Y38" s="16">
        <v>50.0</v>
      </c>
      <c r="Z38" s="16">
        <v>42.2216666666667</v>
      </c>
      <c r="AA38" s="16">
        <v>20.0</v>
      </c>
      <c r="AB38" s="16">
        <v>45.0</v>
      </c>
      <c r="AC38" s="16">
        <v>37.7766666666667</v>
      </c>
      <c r="AD38" s="16">
        <v>25.0</v>
      </c>
      <c r="AE38" s="16">
        <v>45.0</v>
      </c>
      <c r="AF38" s="16">
        <v>36.1909523809524</v>
      </c>
      <c r="AG38" s="16">
        <v>20.0</v>
      </c>
      <c r="AH38" s="16">
        <v>35.0</v>
      </c>
      <c r="AI38" s="16">
        <v>28.333</v>
      </c>
      <c r="AJ38" s="16">
        <v>30.0</v>
      </c>
      <c r="AK38" s="16">
        <v>65.0</v>
      </c>
      <c r="AL38" s="17">
        <v>43.6668</v>
      </c>
      <c r="AM38" s="18">
        <v>20.0</v>
      </c>
      <c r="AN38" s="19">
        <v>110.0</v>
      </c>
      <c r="AO38" s="20">
        <v>46.05923281302859</v>
      </c>
    </row>
    <row r="39" ht="15.75" customHeight="1">
      <c r="A39" s="14" t="s">
        <v>54</v>
      </c>
      <c r="B39" s="15" t="s">
        <v>19</v>
      </c>
      <c r="C39" s="16">
        <v>30.0</v>
      </c>
      <c r="D39" s="16">
        <v>45.0</v>
      </c>
      <c r="E39" s="16">
        <v>37.534347826087</v>
      </c>
      <c r="F39" s="16">
        <v>25.0</v>
      </c>
      <c r="G39" s="16">
        <v>45.0</v>
      </c>
      <c r="H39" s="16">
        <v>35.3056</v>
      </c>
      <c r="I39" s="16">
        <v>25.0</v>
      </c>
      <c r="J39" s="16">
        <v>65.0</v>
      </c>
      <c r="K39" s="16">
        <v>41.4668</v>
      </c>
      <c r="L39" s="16">
        <v>35.0</v>
      </c>
      <c r="M39" s="16">
        <v>60.0</v>
      </c>
      <c r="N39" s="16">
        <v>43.087037037037</v>
      </c>
      <c r="O39" s="16">
        <v>30.0</v>
      </c>
      <c r="P39" s="16">
        <v>50.0</v>
      </c>
      <c r="Q39" s="16">
        <v>38.4827272727273</v>
      </c>
      <c r="R39" s="16">
        <v>25.0</v>
      </c>
      <c r="S39" s="16">
        <v>60.0</v>
      </c>
      <c r="T39" s="16">
        <v>38.0544444444444</v>
      </c>
      <c r="U39" s="16">
        <v>35.0</v>
      </c>
      <c r="V39" s="16">
        <v>100.0</v>
      </c>
      <c r="W39" s="16">
        <v>49.3316</v>
      </c>
      <c r="X39" s="16">
        <v>30.0</v>
      </c>
      <c r="Y39" s="16">
        <v>40.0</v>
      </c>
      <c r="Z39" s="16">
        <v>33.19375</v>
      </c>
      <c r="AA39" s="16">
        <v>20.0</v>
      </c>
      <c r="AB39" s="16">
        <v>40.0</v>
      </c>
      <c r="AC39" s="16">
        <v>32.915</v>
      </c>
      <c r="AD39" s="16">
        <v>25.0</v>
      </c>
      <c r="AE39" s="16">
        <v>45.0</v>
      </c>
      <c r="AF39" s="16">
        <v>34.522380952381</v>
      </c>
      <c r="AG39" s="16">
        <v>25.0</v>
      </c>
      <c r="AH39" s="16">
        <v>40.0</v>
      </c>
      <c r="AI39" s="16">
        <v>32.3689473684211</v>
      </c>
      <c r="AJ39" s="16">
        <v>30.0</v>
      </c>
      <c r="AK39" s="16">
        <v>45.0</v>
      </c>
      <c r="AL39" s="17">
        <v>37.6383333333333</v>
      </c>
      <c r="AM39" s="18">
        <v>20.0</v>
      </c>
      <c r="AN39" s="19">
        <v>100.0</v>
      </c>
      <c r="AO39" s="20">
        <v>37.82508068620259</v>
      </c>
    </row>
    <row r="40" ht="15.75" customHeight="1">
      <c r="A40" s="14" t="s">
        <v>55</v>
      </c>
      <c r="B40" s="15" t="s">
        <v>19</v>
      </c>
      <c r="C40" s="16">
        <v>30.0</v>
      </c>
      <c r="D40" s="16">
        <v>50.0</v>
      </c>
      <c r="E40" s="16">
        <v>40.2169565217391</v>
      </c>
      <c r="F40" s="16">
        <v>35.0</v>
      </c>
      <c r="G40" s="16">
        <v>50.0</v>
      </c>
      <c r="H40" s="16">
        <v>41.9913043478261</v>
      </c>
      <c r="I40" s="16">
        <v>40.0</v>
      </c>
      <c r="J40" s="16">
        <v>50.0</v>
      </c>
      <c r="K40" s="16">
        <v>44.9966666666667</v>
      </c>
      <c r="L40" s="16"/>
      <c r="M40" s="16"/>
      <c r="N40" s="16"/>
      <c r="O40" s="16"/>
      <c r="P40" s="16"/>
      <c r="Q40" s="16"/>
      <c r="R40" s="16">
        <v>40.0</v>
      </c>
      <c r="S40" s="16">
        <v>65.0</v>
      </c>
      <c r="T40" s="16">
        <v>54.2292307692308</v>
      </c>
      <c r="U40" s="16">
        <v>45.0</v>
      </c>
      <c r="V40" s="16">
        <v>70.0</v>
      </c>
      <c r="W40" s="16">
        <v>53.066</v>
      </c>
      <c r="X40" s="16">
        <v>35.0</v>
      </c>
      <c r="Y40" s="16">
        <v>50.0</v>
      </c>
      <c r="Z40" s="16">
        <v>41.7336</v>
      </c>
      <c r="AA40" s="16">
        <v>35.0</v>
      </c>
      <c r="AB40" s="16">
        <v>45.0</v>
      </c>
      <c r="AC40" s="16">
        <v>38.5408333333333</v>
      </c>
      <c r="AD40" s="16">
        <v>30.0</v>
      </c>
      <c r="AE40" s="16">
        <v>40.0</v>
      </c>
      <c r="AF40" s="16">
        <v>36.7452380952381</v>
      </c>
      <c r="AG40" s="16">
        <v>25.0</v>
      </c>
      <c r="AH40" s="16">
        <v>35.0</v>
      </c>
      <c r="AI40" s="16">
        <v>30.333</v>
      </c>
      <c r="AJ40" s="16">
        <v>25.0</v>
      </c>
      <c r="AK40" s="16">
        <v>45.0</v>
      </c>
      <c r="AL40" s="17">
        <v>35.8004</v>
      </c>
      <c r="AM40" s="18">
        <v>25.0</v>
      </c>
      <c r="AN40" s="19">
        <v>70.0</v>
      </c>
      <c r="AO40" s="20">
        <v>41.765322973403414</v>
      </c>
    </row>
    <row r="41" ht="15.75" customHeight="1">
      <c r="A41" s="14" t="s">
        <v>56</v>
      </c>
      <c r="B41" s="15" t="s">
        <v>19</v>
      </c>
      <c r="C41" s="16">
        <v>18.0</v>
      </c>
      <c r="D41" s="16">
        <v>35.0</v>
      </c>
      <c r="E41" s="16">
        <v>21.0982608695652</v>
      </c>
      <c r="F41" s="16">
        <v>20.0</v>
      </c>
      <c r="G41" s="16">
        <v>50.0</v>
      </c>
      <c r="H41" s="16">
        <v>32.9552</v>
      </c>
      <c r="I41" s="16">
        <v>45.0</v>
      </c>
      <c r="J41" s="16">
        <v>70.0</v>
      </c>
      <c r="K41" s="16">
        <v>53.6221739130435</v>
      </c>
      <c r="L41" s="16">
        <v>45.0</v>
      </c>
      <c r="M41" s="16">
        <v>70.0</v>
      </c>
      <c r="N41" s="16">
        <v>58.1481481481481</v>
      </c>
      <c r="O41" s="16">
        <v>45.0</v>
      </c>
      <c r="P41" s="16">
        <v>65.0</v>
      </c>
      <c r="Q41" s="16">
        <v>55.9265217391304</v>
      </c>
      <c r="R41" s="16">
        <v>45.0</v>
      </c>
      <c r="S41" s="16">
        <v>70.0</v>
      </c>
      <c r="T41" s="16">
        <v>56.0073684210526</v>
      </c>
      <c r="U41" s="16">
        <v>45.0</v>
      </c>
      <c r="V41" s="16">
        <v>70.0</v>
      </c>
      <c r="W41" s="16">
        <v>59.2668</v>
      </c>
      <c r="X41" s="16">
        <v>45.0</v>
      </c>
      <c r="Y41" s="16">
        <v>60.0</v>
      </c>
      <c r="Z41" s="16">
        <v>55.132</v>
      </c>
      <c r="AA41" s="16">
        <v>35.0</v>
      </c>
      <c r="AB41" s="16">
        <v>60.0</v>
      </c>
      <c r="AC41" s="16">
        <v>55.3458333333333</v>
      </c>
      <c r="AD41" s="16">
        <v>50.0</v>
      </c>
      <c r="AE41" s="16">
        <v>70.0</v>
      </c>
      <c r="AF41" s="16">
        <v>57.6185714285714</v>
      </c>
      <c r="AG41" s="16">
        <v>45.0</v>
      </c>
      <c r="AH41" s="16">
        <v>60.0</v>
      </c>
      <c r="AI41" s="16">
        <v>52.916</v>
      </c>
      <c r="AJ41" s="16">
        <v>40.0</v>
      </c>
      <c r="AK41" s="16">
        <v>65.0</v>
      </c>
      <c r="AL41" s="17">
        <v>48.9324</v>
      </c>
      <c r="AM41" s="18">
        <v>18.0</v>
      </c>
      <c r="AN41" s="19">
        <v>70.0</v>
      </c>
      <c r="AO41" s="20">
        <v>50.580773154403715</v>
      </c>
    </row>
    <row r="42" ht="15.75" customHeight="1">
      <c r="A42" s="14" t="s">
        <v>57</v>
      </c>
      <c r="B42" s="15" t="s">
        <v>19</v>
      </c>
      <c r="C42" s="16">
        <v>16.0</v>
      </c>
      <c r="D42" s="16">
        <v>28.0</v>
      </c>
      <c r="E42" s="16">
        <v>21.2678260869565</v>
      </c>
      <c r="F42" s="16">
        <v>18.0</v>
      </c>
      <c r="G42" s="16">
        <v>22.0</v>
      </c>
      <c r="H42" s="16">
        <v>20.6</v>
      </c>
      <c r="I42" s="16">
        <v>45.0</v>
      </c>
      <c r="J42" s="16">
        <v>60.0</v>
      </c>
      <c r="K42" s="16">
        <v>52.7766666666667</v>
      </c>
      <c r="L42" s="16"/>
      <c r="M42" s="16"/>
      <c r="N42" s="16"/>
      <c r="O42" s="16"/>
      <c r="P42" s="16"/>
      <c r="Q42" s="16"/>
      <c r="R42" s="16"/>
      <c r="S42" s="16"/>
      <c r="T42" s="16"/>
      <c r="U42" s="16">
        <v>65.0</v>
      </c>
      <c r="V42" s="16">
        <v>100.0</v>
      </c>
      <c r="W42" s="16">
        <v>81.834</v>
      </c>
      <c r="X42" s="16">
        <v>40.0</v>
      </c>
      <c r="Y42" s="16">
        <v>62.0</v>
      </c>
      <c r="Z42" s="16">
        <v>52.412</v>
      </c>
      <c r="AA42" s="16">
        <v>26.0</v>
      </c>
      <c r="AB42" s="16">
        <v>50.0</v>
      </c>
      <c r="AC42" s="16">
        <v>41.0416666666667</v>
      </c>
      <c r="AD42" s="16">
        <v>25.0</v>
      </c>
      <c r="AE42" s="16">
        <v>50.0</v>
      </c>
      <c r="AF42" s="16">
        <v>41.5742857142857</v>
      </c>
      <c r="AG42" s="16">
        <v>24.0</v>
      </c>
      <c r="AH42" s="16">
        <v>45.0</v>
      </c>
      <c r="AI42" s="16">
        <v>34.171</v>
      </c>
      <c r="AJ42" s="16">
        <v>18.0</v>
      </c>
      <c r="AK42" s="16">
        <v>36.0</v>
      </c>
      <c r="AL42" s="17">
        <v>22.678</v>
      </c>
      <c r="AM42" s="18">
        <v>16.0</v>
      </c>
      <c r="AN42" s="19">
        <v>100.0</v>
      </c>
      <c r="AO42" s="20">
        <v>40.92838279273063</v>
      </c>
    </row>
    <row r="43" ht="15.75" customHeight="1">
      <c r="A43" s="14" t="s">
        <v>58</v>
      </c>
      <c r="B43" s="15" t="s">
        <v>19</v>
      </c>
      <c r="C43" s="16">
        <v>16.0</v>
      </c>
      <c r="D43" s="16">
        <v>22.0</v>
      </c>
      <c r="E43" s="16">
        <v>18.4764285714286</v>
      </c>
      <c r="F43" s="16">
        <v>20.0</v>
      </c>
      <c r="G43" s="16">
        <v>22.0</v>
      </c>
      <c r="H43" s="16">
        <v>21.0</v>
      </c>
      <c r="I43" s="16"/>
      <c r="J43" s="16"/>
      <c r="K43" s="16"/>
      <c r="L43" s="16"/>
      <c r="M43" s="16"/>
      <c r="N43" s="16"/>
      <c r="O43" s="16"/>
      <c r="P43" s="16"/>
      <c r="Q43" s="16"/>
      <c r="R43" s="16">
        <v>28.0</v>
      </c>
      <c r="S43" s="16">
        <v>40.0</v>
      </c>
      <c r="T43" s="16">
        <v>32.0</v>
      </c>
      <c r="U43" s="16">
        <v>18.0</v>
      </c>
      <c r="V43" s="16">
        <v>35.0</v>
      </c>
      <c r="W43" s="16">
        <v>26.6617647058824</v>
      </c>
      <c r="X43" s="16">
        <v>16.0</v>
      </c>
      <c r="Y43" s="16">
        <v>24.0</v>
      </c>
      <c r="Z43" s="16">
        <v>20.1268</v>
      </c>
      <c r="AA43" s="16">
        <v>16.0</v>
      </c>
      <c r="AB43" s="16">
        <v>30.0</v>
      </c>
      <c r="AC43" s="16">
        <v>22.3573913043478</v>
      </c>
      <c r="AD43" s="16">
        <v>20.0</v>
      </c>
      <c r="AE43" s="16">
        <v>28.0</v>
      </c>
      <c r="AF43" s="16">
        <v>24.2665</v>
      </c>
      <c r="AG43" s="16">
        <v>22.0</v>
      </c>
      <c r="AH43" s="16">
        <v>28.0</v>
      </c>
      <c r="AI43" s="16">
        <v>23.854375</v>
      </c>
      <c r="AJ43" s="16">
        <v>26.0</v>
      </c>
      <c r="AK43" s="16">
        <v>30.0</v>
      </c>
      <c r="AL43" s="17">
        <v>28.25</v>
      </c>
      <c r="AM43" s="18">
        <v>16.0</v>
      </c>
      <c r="AN43" s="19">
        <v>40.0</v>
      </c>
      <c r="AO43" s="20">
        <v>24.11036217573987</v>
      </c>
    </row>
    <row r="44" ht="15.75" customHeight="1">
      <c r="A44" s="14" t="s">
        <v>59</v>
      </c>
      <c r="B44" s="15" t="s">
        <v>19</v>
      </c>
      <c r="C44" s="16">
        <v>100.0</v>
      </c>
      <c r="D44" s="16">
        <v>325.0</v>
      </c>
      <c r="E44" s="16">
        <v>222.5730434782609</v>
      </c>
      <c r="F44" s="16">
        <v>200.0</v>
      </c>
      <c r="G44" s="16">
        <v>500.0</v>
      </c>
      <c r="H44" s="16">
        <v>350.5</v>
      </c>
      <c r="I44" s="16">
        <v>160.0</v>
      </c>
      <c r="J44" s="16">
        <v>500.0</v>
      </c>
      <c r="K44" s="16">
        <v>274.3344</v>
      </c>
      <c r="L44" s="16">
        <v>200.0</v>
      </c>
      <c r="M44" s="16">
        <v>400.0</v>
      </c>
      <c r="N44" s="16">
        <v>292.8680769230769</v>
      </c>
      <c r="O44" s="16">
        <v>275.0</v>
      </c>
      <c r="P44" s="16">
        <v>750.0</v>
      </c>
      <c r="Q44" s="16">
        <v>469.7834782608696</v>
      </c>
      <c r="R44" s="16">
        <v>275.0</v>
      </c>
      <c r="S44" s="16">
        <v>550.0</v>
      </c>
      <c r="T44" s="16">
        <v>378.5794117647059</v>
      </c>
      <c r="U44" s="16">
        <v>190.0</v>
      </c>
      <c r="V44" s="16">
        <v>350.0</v>
      </c>
      <c r="W44" s="16">
        <v>260.9008</v>
      </c>
      <c r="X44" s="16">
        <v>240.0</v>
      </c>
      <c r="Y44" s="16">
        <v>325.0</v>
      </c>
      <c r="Z44" s="16">
        <v>281.53</v>
      </c>
      <c r="AA44" s="16">
        <v>240.0</v>
      </c>
      <c r="AB44" s="16">
        <v>320.0</v>
      </c>
      <c r="AC44" s="16">
        <v>276.5270833333333</v>
      </c>
      <c r="AD44" s="16">
        <v>240.0</v>
      </c>
      <c r="AE44" s="16">
        <v>425.0</v>
      </c>
      <c r="AF44" s="16">
        <v>351.3109523809524</v>
      </c>
      <c r="AG44" s="16">
        <v>30.0</v>
      </c>
      <c r="AH44" s="16">
        <v>400.0</v>
      </c>
      <c r="AI44" s="16">
        <v>303.9468421052632</v>
      </c>
      <c r="AJ44" s="16">
        <v>140.0</v>
      </c>
      <c r="AK44" s="16">
        <v>270.0</v>
      </c>
      <c r="AL44" s="17">
        <v>196.8684</v>
      </c>
      <c r="AM44" s="18">
        <v>30.0</v>
      </c>
      <c r="AN44" s="19">
        <v>750.0</v>
      </c>
      <c r="AO44" s="20">
        <v>304.97687402053856</v>
      </c>
    </row>
    <row r="45" ht="15.75" customHeight="1">
      <c r="A45" s="14" t="s">
        <v>60</v>
      </c>
      <c r="B45" s="15" t="s">
        <v>19</v>
      </c>
      <c r="C45" s="16">
        <v>100.0</v>
      </c>
      <c r="D45" s="16">
        <v>275.0</v>
      </c>
      <c r="E45" s="16">
        <v>181.2127272727273</v>
      </c>
      <c r="F45" s="16">
        <v>90.0</v>
      </c>
      <c r="G45" s="16">
        <v>180.0</v>
      </c>
      <c r="H45" s="16">
        <v>103.34</v>
      </c>
      <c r="I45" s="16">
        <v>80.0</v>
      </c>
      <c r="J45" s="16">
        <v>175.0</v>
      </c>
      <c r="K45" s="16">
        <v>117.9504</v>
      </c>
      <c r="L45" s="16">
        <v>120.0</v>
      </c>
      <c r="M45" s="16">
        <v>200.0</v>
      </c>
      <c r="N45" s="16">
        <v>156.0185185185185</v>
      </c>
      <c r="O45" s="16">
        <v>150.0</v>
      </c>
      <c r="P45" s="16">
        <v>250.0</v>
      </c>
      <c r="Q45" s="16">
        <v>199.0531818181818</v>
      </c>
      <c r="R45" s="16">
        <v>150.0</v>
      </c>
      <c r="S45" s="16">
        <v>250.0</v>
      </c>
      <c r="T45" s="16">
        <v>189.944</v>
      </c>
      <c r="U45" s="16">
        <v>175.0</v>
      </c>
      <c r="V45" s="16">
        <v>225.0</v>
      </c>
      <c r="W45" s="16">
        <v>197.5</v>
      </c>
      <c r="X45" s="16"/>
      <c r="Y45" s="16"/>
      <c r="Z45" s="16"/>
      <c r="AA45" s="16">
        <v>145.0</v>
      </c>
      <c r="AB45" s="16">
        <v>150.0</v>
      </c>
      <c r="AC45" s="16">
        <v>148.75</v>
      </c>
      <c r="AD45" s="16"/>
      <c r="AE45" s="16"/>
      <c r="AF45" s="16"/>
      <c r="AG45" s="16"/>
      <c r="AH45" s="16"/>
      <c r="AI45" s="16"/>
      <c r="AJ45" s="16">
        <v>90.0</v>
      </c>
      <c r="AK45" s="16">
        <v>350.0</v>
      </c>
      <c r="AL45" s="17">
        <v>247.3195652173913</v>
      </c>
      <c r="AM45" s="18">
        <v>80.0</v>
      </c>
      <c r="AN45" s="19">
        <v>350.0</v>
      </c>
      <c r="AO45" s="20">
        <v>171.23204364742432</v>
      </c>
    </row>
    <row r="46" ht="15.75" customHeight="1">
      <c r="A46" s="14" t="s">
        <v>61</v>
      </c>
      <c r="B46" s="15" t="s">
        <v>19</v>
      </c>
      <c r="C46" s="16">
        <v>35.0</v>
      </c>
      <c r="D46" s="16">
        <v>50.0</v>
      </c>
      <c r="E46" s="16">
        <v>42.7254545454545</v>
      </c>
      <c r="F46" s="16">
        <v>35.0</v>
      </c>
      <c r="G46" s="16">
        <v>45.0</v>
      </c>
      <c r="H46" s="16">
        <v>39.5808333333333</v>
      </c>
      <c r="I46" s="16">
        <v>40.0</v>
      </c>
      <c r="J46" s="16">
        <v>70.0</v>
      </c>
      <c r="K46" s="16">
        <v>52.3122222222222</v>
      </c>
      <c r="L46" s="16">
        <v>45.0</v>
      </c>
      <c r="M46" s="16">
        <v>125.0</v>
      </c>
      <c r="N46" s="16">
        <v>63.232</v>
      </c>
      <c r="O46" s="16">
        <v>50.0</v>
      </c>
      <c r="P46" s="16">
        <v>70.0</v>
      </c>
      <c r="Q46" s="16">
        <v>58.4352380952381</v>
      </c>
      <c r="R46" s="16">
        <v>50.0</v>
      </c>
      <c r="S46" s="16">
        <v>60.0</v>
      </c>
      <c r="T46" s="16">
        <v>57.9138888888889</v>
      </c>
      <c r="U46" s="16">
        <v>12.0</v>
      </c>
      <c r="V46" s="16">
        <v>110.0</v>
      </c>
      <c r="W46" s="16">
        <v>51.9385714285714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v>35.0</v>
      </c>
      <c r="AK46" s="16">
        <v>65.0</v>
      </c>
      <c r="AL46" s="17">
        <v>55.8325</v>
      </c>
      <c r="AM46" s="18">
        <v>12.0</v>
      </c>
      <c r="AN46" s="19">
        <v>125.0</v>
      </c>
      <c r="AO46" s="20">
        <v>52.74633856421355</v>
      </c>
    </row>
    <row r="47" ht="15.75" customHeight="1">
      <c r="A47" s="14" t="s">
        <v>62</v>
      </c>
      <c r="B47" s="15" t="s">
        <v>19</v>
      </c>
      <c r="C47" s="16">
        <v>35.0</v>
      </c>
      <c r="D47" s="16">
        <v>50.0</v>
      </c>
      <c r="E47" s="16">
        <v>44.2004545454545</v>
      </c>
      <c r="F47" s="16">
        <v>35.0</v>
      </c>
      <c r="G47" s="16">
        <v>90.0</v>
      </c>
      <c r="H47" s="16">
        <v>54.9652</v>
      </c>
      <c r="I47" s="16">
        <v>70.0</v>
      </c>
      <c r="J47" s="16">
        <v>250.0</v>
      </c>
      <c r="K47" s="16">
        <v>128.0094444444444</v>
      </c>
      <c r="L47" s="16">
        <v>75.0</v>
      </c>
      <c r="M47" s="16">
        <v>150.0</v>
      </c>
      <c r="N47" s="16">
        <v>118.2692307692308</v>
      </c>
      <c r="O47" s="16">
        <v>55.0</v>
      </c>
      <c r="P47" s="16">
        <v>60.0</v>
      </c>
      <c r="Q47" s="16">
        <v>57.5</v>
      </c>
      <c r="R47" s="16">
        <v>120.0</v>
      </c>
      <c r="S47" s="16">
        <v>150.0</v>
      </c>
      <c r="T47" s="16">
        <v>130.4166666666667</v>
      </c>
      <c r="U47" s="16">
        <v>65.0</v>
      </c>
      <c r="V47" s="16">
        <v>140.0</v>
      </c>
      <c r="W47" s="16">
        <v>90.0</v>
      </c>
      <c r="X47" s="16">
        <v>30.0</v>
      </c>
      <c r="Y47" s="16">
        <v>75.0</v>
      </c>
      <c r="Z47" s="16">
        <v>57.066</v>
      </c>
      <c r="AA47" s="16">
        <v>30.0</v>
      </c>
      <c r="AB47" s="16">
        <v>55.0</v>
      </c>
      <c r="AC47" s="16">
        <v>41.4108333333333</v>
      </c>
      <c r="AD47" s="16">
        <v>40.0</v>
      </c>
      <c r="AE47" s="16">
        <v>60.0</v>
      </c>
      <c r="AF47" s="16">
        <v>46.7442857142857</v>
      </c>
      <c r="AG47" s="16">
        <v>28.0</v>
      </c>
      <c r="AH47" s="16">
        <v>50.0</v>
      </c>
      <c r="AI47" s="16">
        <v>43.083</v>
      </c>
      <c r="AJ47" s="16">
        <v>25.0</v>
      </c>
      <c r="AK47" s="16">
        <v>50.0</v>
      </c>
      <c r="AL47" s="17">
        <v>34.494</v>
      </c>
      <c r="AM47" s="18">
        <v>25.0</v>
      </c>
      <c r="AN47" s="19">
        <v>250.0</v>
      </c>
      <c r="AO47" s="20">
        <v>70.51325962278462</v>
      </c>
    </row>
    <row r="48" ht="15.75" customHeight="1">
      <c r="A48" s="14" t="s">
        <v>63</v>
      </c>
      <c r="B48" s="15" t="s">
        <v>19</v>
      </c>
      <c r="C48" s="16">
        <v>35.0</v>
      </c>
      <c r="D48" s="16">
        <v>50.0</v>
      </c>
      <c r="E48" s="16">
        <v>40.3613043478261</v>
      </c>
      <c r="F48" s="16">
        <v>35.0</v>
      </c>
      <c r="G48" s="16">
        <v>55.0</v>
      </c>
      <c r="H48" s="16">
        <v>40.6583333333333</v>
      </c>
      <c r="I48" s="16">
        <v>35.0</v>
      </c>
      <c r="J48" s="16">
        <v>70.0</v>
      </c>
      <c r="K48" s="16">
        <v>51.9324</v>
      </c>
      <c r="L48" s="16">
        <v>40.0</v>
      </c>
      <c r="M48" s="16">
        <v>80.0</v>
      </c>
      <c r="N48" s="16">
        <v>57.7144444444444</v>
      </c>
      <c r="O48" s="16">
        <v>45.0</v>
      </c>
      <c r="P48" s="16">
        <v>80.0</v>
      </c>
      <c r="Q48" s="16">
        <v>68.2533333333333</v>
      </c>
      <c r="R48" s="16">
        <v>70.0</v>
      </c>
      <c r="S48" s="16">
        <v>100.0</v>
      </c>
      <c r="T48" s="16">
        <v>80.6578947368421</v>
      </c>
      <c r="U48" s="16">
        <v>70.0</v>
      </c>
      <c r="V48" s="16">
        <v>300.0</v>
      </c>
      <c r="W48" s="16">
        <v>108.1</v>
      </c>
      <c r="X48" s="16">
        <v>50.0</v>
      </c>
      <c r="Y48" s="16">
        <v>90.0</v>
      </c>
      <c r="Z48" s="16">
        <v>72.7996</v>
      </c>
      <c r="AA48" s="16">
        <v>50.0</v>
      </c>
      <c r="AB48" s="16">
        <v>100.0</v>
      </c>
      <c r="AC48" s="16">
        <v>76.875</v>
      </c>
      <c r="AD48" s="16">
        <v>45.0</v>
      </c>
      <c r="AE48" s="16">
        <v>80.0</v>
      </c>
      <c r="AF48" s="16">
        <v>60.7919047619048</v>
      </c>
      <c r="AG48" s="16">
        <v>40.0</v>
      </c>
      <c r="AH48" s="16">
        <v>70.0</v>
      </c>
      <c r="AI48" s="16">
        <v>54.6245</v>
      </c>
      <c r="AJ48" s="16">
        <v>40.0</v>
      </c>
      <c r="AK48" s="16">
        <v>55.0</v>
      </c>
      <c r="AL48" s="17">
        <v>45.134</v>
      </c>
      <c r="AM48" s="18">
        <v>35.0</v>
      </c>
      <c r="AN48" s="19">
        <v>300.0</v>
      </c>
      <c r="AO48" s="20">
        <v>63.15855957980701</v>
      </c>
    </row>
    <row r="49" ht="15.75" customHeight="1">
      <c r="A49" s="14" t="s">
        <v>64</v>
      </c>
      <c r="B49" s="15" t="s">
        <v>19</v>
      </c>
      <c r="C49" s="16">
        <v>20.0</v>
      </c>
      <c r="D49" s="16">
        <v>40.0</v>
      </c>
      <c r="E49" s="16">
        <v>29.0621739130435</v>
      </c>
      <c r="F49" s="16">
        <v>20.0</v>
      </c>
      <c r="G49" s="16">
        <v>30.0</v>
      </c>
      <c r="H49" s="16">
        <v>25.9733333333333</v>
      </c>
      <c r="I49" s="16"/>
      <c r="J49" s="16"/>
      <c r="K49" s="16"/>
      <c r="L49" s="16"/>
      <c r="M49" s="16"/>
      <c r="N49" s="16"/>
      <c r="O49" s="16">
        <v>70.0</v>
      </c>
      <c r="P49" s="16">
        <v>80.0</v>
      </c>
      <c r="Q49" s="16">
        <v>75.0</v>
      </c>
      <c r="R49" s="16"/>
      <c r="S49" s="16"/>
      <c r="T49" s="16"/>
      <c r="U49" s="16"/>
      <c r="V49" s="16"/>
      <c r="W49" s="16"/>
      <c r="X49" s="16"/>
      <c r="Y49" s="16"/>
      <c r="Z49" s="16"/>
      <c r="AA49" s="16">
        <v>110.0</v>
      </c>
      <c r="AB49" s="16">
        <v>120.0</v>
      </c>
      <c r="AC49" s="16">
        <v>115.0</v>
      </c>
      <c r="AD49" s="16"/>
      <c r="AE49" s="16"/>
      <c r="AF49" s="16"/>
      <c r="AG49" s="16">
        <v>100.0</v>
      </c>
      <c r="AH49" s="16">
        <v>200.0</v>
      </c>
      <c r="AI49" s="16">
        <v>134.0</v>
      </c>
      <c r="AJ49" s="16">
        <v>60.0</v>
      </c>
      <c r="AK49" s="16">
        <v>200.0</v>
      </c>
      <c r="AL49" s="17">
        <v>98.0686363636364</v>
      </c>
      <c r="AM49" s="18">
        <v>20.0</v>
      </c>
      <c r="AN49" s="19">
        <v>200.0</v>
      </c>
      <c r="AO49" s="20">
        <v>79.51735726833554</v>
      </c>
    </row>
    <row r="50" ht="15.75" customHeight="1">
      <c r="A50" s="14" t="s">
        <v>65</v>
      </c>
      <c r="B50" s="15" t="s">
        <v>19</v>
      </c>
      <c r="C50" s="16">
        <v>50.0</v>
      </c>
      <c r="D50" s="16">
        <v>70.0</v>
      </c>
      <c r="E50" s="16">
        <v>56.5061538461538</v>
      </c>
      <c r="F50" s="16"/>
      <c r="G50" s="16"/>
      <c r="H50" s="16"/>
      <c r="I50" s="16">
        <v>150.0</v>
      </c>
      <c r="J50" s="16">
        <v>175.0</v>
      </c>
      <c r="K50" s="16">
        <v>162.5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v>25.0</v>
      </c>
      <c r="AK50" s="16">
        <v>150.0</v>
      </c>
      <c r="AL50" s="17">
        <v>49.1188235294118</v>
      </c>
      <c r="AM50" s="18">
        <v>25.0</v>
      </c>
      <c r="AN50" s="19">
        <v>175.0</v>
      </c>
      <c r="AO50" s="20">
        <v>89.37499245852187</v>
      </c>
    </row>
    <row r="51" ht="15.75" customHeight="1">
      <c r="A51" s="14" t="s">
        <v>66</v>
      </c>
      <c r="B51" s="15" t="s">
        <v>19</v>
      </c>
      <c r="C51" s="16">
        <v>20.0</v>
      </c>
      <c r="D51" s="16">
        <v>40.0</v>
      </c>
      <c r="E51" s="16">
        <v>32.1963636363636</v>
      </c>
      <c r="F51" s="16">
        <v>25.0</v>
      </c>
      <c r="G51" s="16">
        <v>40.0</v>
      </c>
      <c r="H51" s="16">
        <v>31.0125</v>
      </c>
      <c r="I51" s="16">
        <v>25.0</v>
      </c>
      <c r="J51" s="16">
        <v>90.0</v>
      </c>
      <c r="K51" s="16">
        <v>44.2332</v>
      </c>
      <c r="L51" s="16">
        <v>35.0</v>
      </c>
      <c r="M51" s="16">
        <v>80.0</v>
      </c>
      <c r="N51" s="16">
        <v>51.0896153846154</v>
      </c>
      <c r="O51" s="16">
        <v>40.0</v>
      </c>
      <c r="P51" s="16">
        <v>80.0</v>
      </c>
      <c r="Q51" s="16">
        <v>66.4795</v>
      </c>
      <c r="R51" s="16">
        <v>60.0</v>
      </c>
      <c r="S51" s="16">
        <v>80.0</v>
      </c>
      <c r="T51" s="16">
        <v>72.944</v>
      </c>
      <c r="U51" s="16">
        <v>60.0</v>
      </c>
      <c r="V51" s="16">
        <v>250.0</v>
      </c>
      <c r="W51" s="16">
        <v>99.4328</v>
      </c>
      <c r="X51" s="16">
        <v>60.0</v>
      </c>
      <c r="Y51" s="16">
        <v>85.0</v>
      </c>
      <c r="Z51" s="16">
        <v>74.7916666666667</v>
      </c>
      <c r="AA51" s="16">
        <v>65.0</v>
      </c>
      <c r="AB51" s="16">
        <v>110.0</v>
      </c>
      <c r="AC51" s="16">
        <v>81.1740909090909</v>
      </c>
      <c r="AD51" s="16">
        <v>60.0</v>
      </c>
      <c r="AE51" s="16">
        <v>85.0</v>
      </c>
      <c r="AF51" s="16">
        <v>68.801875</v>
      </c>
      <c r="AG51" s="16">
        <v>40.0</v>
      </c>
      <c r="AH51" s="16">
        <v>70.0</v>
      </c>
      <c r="AI51" s="16">
        <v>55.8326315789474</v>
      </c>
      <c r="AJ51" s="16">
        <v>40.0</v>
      </c>
      <c r="AK51" s="16">
        <v>55.0</v>
      </c>
      <c r="AL51" s="17">
        <v>43.9328</v>
      </c>
      <c r="AM51" s="18">
        <v>20.0</v>
      </c>
      <c r="AN51" s="19">
        <v>250.0</v>
      </c>
      <c r="AO51" s="20">
        <v>60.160086931307006</v>
      </c>
    </row>
    <row r="52" ht="15.75" customHeight="1">
      <c r="A52" s="14" t="s">
        <v>67</v>
      </c>
      <c r="B52" s="15" t="s">
        <v>19</v>
      </c>
      <c r="C52" s="16">
        <v>20.0</v>
      </c>
      <c r="D52" s="16">
        <v>70.0</v>
      </c>
      <c r="E52" s="16">
        <v>37.0445454545455</v>
      </c>
      <c r="F52" s="16">
        <v>30.0</v>
      </c>
      <c r="G52" s="16">
        <v>80.0</v>
      </c>
      <c r="H52" s="16">
        <v>53.5754166666667</v>
      </c>
      <c r="I52" s="16">
        <v>40.0</v>
      </c>
      <c r="J52" s="16">
        <v>175.0</v>
      </c>
      <c r="K52" s="16">
        <v>80.1826086956522</v>
      </c>
      <c r="L52" s="16">
        <v>30.0</v>
      </c>
      <c r="M52" s="16">
        <v>155.0</v>
      </c>
      <c r="N52" s="16">
        <v>75.7714814814815</v>
      </c>
      <c r="O52" s="16">
        <v>30.0</v>
      </c>
      <c r="P52" s="16">
        <v>40.0</v>
      </c>
      <c r="Q52" s="16">
        <v>34.6</v>
      </c>
      <c r="R52" s="16">
        <v>30.0</v>
      </c>
      <c r="S52" s="16">
        <v>50.0</v>
      </c>
      <c r="T52" s="16">
        <v>35.712857142857104</v>
      </c>
      <c r="U52" s="16">
        <v>70.0</v>
      </c>
      <c r="V52" s="16">
        <v>500.0</v>
      </c>
      <c r="W52" s="16">
        <v>165.2305555555556</v>
      </c>
      <c r="X52" s="16">
        <v>30.0</v>
      </c>
      <c r="Y52" s="16">
        <v>100.0</v>
      </c>
      <c r="Z52" s="16">
        <v>65.2992</v>
      </c>
      <c r="AA52" s="16">
        <v>30.0</v>
      </c>
      <c r="AB52" s="16">
        <v>50.0</v>
      </c>
      <c r="AC52" s="16">
        <v>37.4979166666667</v>
      </c>
      <c r="AD52" s="16">
        <v>30.0</v>
      </c>
      <c r="AE52" s="16">
        <v>70.0</v>
      </c>
      <c r="AF52" s="16">
        <v>42.0628571428571</v>
      </c>
      <c r="AG52" s="16">
        <v>25.0</v>
      </c>
      <c r="AH52" s="16">
        <v>35.0</v>
      </c>
      <c r="AI52" s="16">
        <v>31.5195</v>
      </c>
      <c r="AJ52" s="16">
        <v>20.0</v>
      </c>
      <c r="AK52" s="16">
        <v>30.0</v>
      </c>
      <c r="AL52" s="17">
        <v>26.64</v>
      </c>
      <c r="AM52" s="18">
        <v>20.0</v>
      </c>
      <c r="AN52" s="19">
        <v>500.0</v>
      </c>
      <c r="AO52" s="20">
        <v>57.094744900523544</v>
      </c>
    </row>
    <row r="53" ht="15.75" customHeight="1">
      <c r="A53" s="14" t="s">
        <v>68</v>
      </c>
      <c r="B53" s="15" t="s">
        <v>19</v>
      </c>
      <c r="C53" s="16">
        <v>35.0</v>
      </c>
      <c r="D53" s="16">
        <v>50.0</v>
      </c>
      <c r="E53" s="16">
        <v>43.8477272727273</v>
      </c>
      <c r="F53" s="16">
        <v>35.0</v>
      </c>
      <c r="G53" s="16">
        <v>50.0</v>
      </c>
      <c r="H53" s="16">
        <v>42.3945833333333</v>
      </c>
      <c r="I53" s="16">
        <v>45.0</v>
      </c>
      <c r="J53" s="16">
        <v>60.0</v>
      </c>
      <c r="K53" s="16">
        <v>52.915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>
        <v>30.0</v>
      </c>
      <c r="Y53" s="16">
        <v>45.0</v>
      </c>
      <c r="Z53" s="16">
        <v>39.7925</v>
      </c>
      <c r="AA53" s="16">
        <v>35.0</v>
      </c>
      <c r="AB53" s="16">
        <v>45.0</v>
      </c>
      <c r="AC53" s="16">
        <v>39.8745</v>
      </c>
      <c r="AD53" s="16">
        <v>35.0</v>
      </c>
      <c r="AE53" s="16">
        <v>50.0</v>
      </c>
      <c r="AF53" s="16">
        <v>42.165</v>
      </c>
      <c r="AG53" s="16">
        <v>35.0</v>
      </c>
      <c r="AH53" s="16">
        <v>45.0</v>
      </c>
      <c r="AI53" s="16">
        <v>38.9205882352941</v>
      </c>
      <c r="AJ53" s="16">
        <v>30.0</v>
      </c>
      <c r="AK53" s="16">
        <v>45.0</v>
      </c>
      <c r="AL53" s="17">
        <v>37.9324</v>
      </c>
      <c r="AM53" s="18">
        <v>30.0</v>
      </c>
      <c r="AN53" s="19">
        <v>60.0</v>
      </c>
      <c r="AO53" s="20">
        <v>42.23028735516933</v>
      </c>
    </row>
    <row r="54" ht="15.75" customHeight="1">
      <c r="A54" s="14" t="s">
        <v>69</v>
      </c>
      <c r="B54" s="15" t="s">
        <v>19</v>
      </c>
      <c r="C54" s="16">
        <v>45.0</v>
      </c>
      <c r="D54" s="16">
        <v>80.0</v>
      </c>
      <c r="E54" s="16">
        <v>59.6833333333333</v>
      </c>
      <c r="F54" s="16">
        <v>50.0</v>
      </c>
      <c r="G54" s="16">
        <v>80.0</v>
      </c>
      <c r="H54" s="16">
        <v>64.9240909090909</v>
      </c>
      <c r="I54" s="16">
        <v>50.0</v>
      </c>
      <c r="J54" s="16">
        <v>80.0</v>
      </c>
      <c r="K54" s="16">
        <v>63.0672</v>
      </c>
      <c r="L54" s="16">
        <v>60.0</v>
      </c>
      <c r="M54" s="16">
        <v>80.0</v>
      </c>
      <c r="N54" s="16">
        <v>67.1803846153846</v>
      </c>
      <c r="O54" s="16">
        <v>60.0</v>
      </c>
      <c r="P54" s="16">
        <v>80.0</v>
      </c>
      <c r="Q54" s="16">
        <v>70.0363636363636</v>
      </c>
      <c r="R54" s="16">
        <v>60.0</v>
      </c>
      <c r="S54" s="16">
        <v>80.0</v>
      </c>
      <c r="T54" s="16">
        <v>70.7735714285714</v>
      </c>
      <c r="U54" s="16">
        <v>60.0</v>
      </c>
      <c r="V54" s="16">
        <v>160.0</v>
      </c>
      <c r="W54" s="16">
        <v>79.9008</v>
      </c>
      <c r="X54" s="16">
        <v>60.0</v>
      </c>
      <c r="Y54" s="16">
        <v>70.0</v>
      </c>
      <c r="Z54" s="16">
        <v>67.1996</v>
      </c>
      <c r="AA54" s="16">
        <v>35.0</v>
      </c>
      <c r="AB54" s="16">
        <v>75.0</v>
      </c>
      <c r="AC54" s="16">
        <v>66.5930434782609</v>
      </c>
      <c r="AD54" s="16">
        <v>65.0</v>
      </c>
      <c r="AE54" s="16">
        <v>90.0</v>
      </c>
      <c r="AF54" s="16">
        <v>74.3642857142857</v>
      </c>
      <c r="AG54" s="16">
        <v>60.0</v>
      </c>
      <c r="AH54" s="16">
        <v>75.0</v>
      </c>
      <c r="AI54" s="16">
        <v>67.0825</v>
      </c>
      <c r="AJ54" s="16">
        <v>50.0</v>
      </c>
      <c r="AK54" s="16">
        <v>60.0</v>
      </c>
      <c r="AL54" s="17">
        <v>57.4652</v>
      </c>
      <c r="AM54" s="18">
        <v>35.0</v>
      </c>
      <c r="AN54" s="19">
        <v>160.0</v>
      </c>
      <c r="AO54" s="20">
        <v>67.35586442627418</v>
      </c>
    </row>
    <row r="55" ht="15.75" customHeight="1">
      <c r="A55" s="14" t="s">
        <v>70</v>
      </c>
      <c r="B55" s="15" t="s">
        <v>19</v>
      </c>
      <c r="C55" s="16">
        <v>90.0</v>
      </c>
      <c r="D55" s="16">
        <v>400.0</v>
      </c>
      <c r="E55" s="16">
        <v>132.2619047619048</v>
      </c>
      <c r="F55" s="16">
        <v>70.0</v>
      </c>
      <c r="G55" s="16">
        <v>350.0</v>
      </c>
      <c r="H55" s="16">
        <v>192.1052631578947</v>
      </c>
      <c r="I55" s="16">
        <v>125.0</v>
      </c>
      <c r="J55" s="16">
        <v>200.0</v>
      </c>
      <c r="K55" s="16">
        <v>160.334</v>
      </c>
      <c r="L55" s="16">
        <v>125.0</v>
      </c>
      <c r="M55" s="16">
        <v>190.0</v>
      </c>
      <c r="N55" s="16">
        <v>156.5080769230769</v>
      </c>
      <c r="O55" s="16">
        <v>150.0</v>
      </c>
      <c r="P55" s="16">
        <v>260.0</v>
      </c>
      <c r="Q55" s="16">
        <v>182.8447058823529</v>
      </c>
      <c r="R55" s="16">
        <v>150.0</v>
      </c>
      <c r="S55" s="16">
        <v>225.0</v>
      </c>
      <c r="T55" s="16">
        <v>175.0009090909091</v>
      </c>
      <c r="U55" s="16">
        <v>140.0</v>
      </c>
      <c r="V55" s="16">
        <v>1000.0</v>
      </c>
      <c r="W55" s="16">
        <v>277.9348</v>
      </c>
      <c r="X55" s="16">
        <v>120.0</v>
      </c>
      <c r="Y55" s="16">
        <v>180.0</v>
      </c>
      <c r="Z55" s="16">
        <v>152.736</v>
      </c>
      <c r="AA55" s="16">
        <v>90.0</v>
      </c>
      <c r="AB55" s="16">
        <v>140.0</v>
      </c>
      <c r="AC55" s="16">
        <v>129.16625</v>
      </c>
      <c r="AD55" s="16">
        <v>125.0</v>
      </c>
      <c r="AE55" s="16">
        <v>190.0</v>
      </c>
      <c r="AF55" s="16">
        <v>162.3419047619048</v>
      </c>
      <c r="AG55" s="16">
        <v>140.0</v>
      </c>
      <c r="AH55" s="16">
        <v>170.0</v>
      </c>
      <c r="AI55" s="16">
        <v>161.169</v>
      </c>
      <c r="AJ55" s="16">
        <v>90.0</v>
      </c>
      <c r="AK55" s="16">
        <v>900.0</v>
      </c>
      <c r="AL55" s="17">
        <v>118.0344</v>
      </c>
      <c r="AM55" s="18">
        <v>70.0</v>
      </c>
      <c r="AN55" s="19">
        <v>1000.0</v>
      </c>
      <c r="AO55" s="20">
        <v>166.70310121483695</v>
      </c>
    </row>
    <row r="56" ht="15.75" customHeight="1">
      <c r="A56" s="14" t="s">
        <v>71</v>
      </c>
      <c r="B56" s="15" t="s">
        <v>19</v>
      </c>
      <c r="C56" s="16">
        <v>30.0</v>
      </c>
      <c r="D56" s="16">
        <v>45.0</v>
      </c>
      <c r="E56" s="16">
        <v>40.07</v>
      </c>
      <c r="F56" s="16">
        <v>35.0</v>
      </c>
      <c r="G56" s="16">
        <v>45.0</v>
      </c>
      <c r="H56" s="16">
        <v>41.0847826086957</v>
      </c>
      <c r="I56" s="16">
        <v>40.0</v>
      </c>
      <c r="J56" s="16">
        <v>60.0</v>
      </c>
      <c r="K56" s="16">
        <v>47.832</v>
      </c>
      <c r="L56" s="16"/>
      <c r="M56" s="16"/>
      <c r="N56" s="16"/>
      <c r="O56" s="16"/>
      <c r="P56" s="16"/>
      <c r="Q56" s="16"/>
      <c r="R56" s="16">
        <v>45.0</v>
      </c>
      <c r="S56" s="16">
        <v>60.0</v>
      </c>
      <c r="T56" s="16">
        <v>53.9730769230769</v>
      </c>
      <c r="U56" s="16">
        <v>40.0</v>
      </c>
      <c r="V56" s="16">
        <v>85.0</v>
      </c>
      <c r="W56" s="16">
        <v>56.2491666666667</v>
      </c>
      <c r="X56" s="16">
        <v>35.0</v>
      </c>
      <c r="Y56" s="16">
        <v>50.0</v>
      </c>
      <c r="Z56" s="16">
        <v>42.1324</v>
      </c>
      <c r="AA56" s="16">
        <v>35.0</v>
      </c>
      <c r="AB56" s="16">
        <v>45.0</v>
      </c>
      <c r="AC56" s="16">
        <v>38.6582608695652</v>
      </c>
      <c r="AD56" s="16">
        <v>30.0</v>
      </c>
      <c r="AE56" s="16">
        <v>45.0</v>
      </c>
      <c r="AF56" s="16">
        <v>37.617619047619</v>
      </c>
      <c r="AG56" s="16">
        <v>25.0</v>
      </c>
      <c r="AH56" s="16">
        <v>35.0</v>
      </c>
      <c r="AI56" s="16">
        <v>31.4026315789474</v>
      </c>
      <c r="AJ56" s="16">
        <v>25.0</v>
      </c>
      <c r="AK56" s="16">
        <v>45.0</v>
      </c>
      <c r="AL56" s="17">
        <v>34.9996</v>
      </c>
      <c r="AM56" s="18">
        <v>25.0</v>
      </c>
      <c r="AN56" s="19">
        <v>85.0</v>
      </c>
      <c r="AO56" s="20">
        <v>42.40195376945709</v>
      </c>
    </row>
    <row r="57" ht="15.75" customHeight="1">
      <c r="A57" s="14" t="s">
        <v>72</v>
      </c>
      <c r="B57" s="15" t="s">
        <v>19</v>
      </c>
      <c r="C57" s="16">
        <v>60.0</v>
      </c>
      <c r="D57" s="16">
        <v>90.0</v>
      </c>
      <c r="E57" s="16">
        <v>81.41</v>
      </c>
      <c r="F57" s="16">
        <v>25.0</v>
      </c>
      <c r="G57" s="16">
        <v>90.0</v>
      </c>
      <c r="H57" s="16">
        <v>70.4708695652174</v>
      </c>
      <c r="I57" s="16">
        <v>60.0</v>
      </c>
      <c r="J57" s="16">
        <v>110.0</v>
      </c>
      <c r="K57" s="16">
        <v>74.3996</v>
      </c>
      <c r="L57" s="16">
        <v>70.0</v>
      </c>
      <c r="M57" s="16">
        <v>90.0</v>
      </c>
      <c r="N57" s="16">
        <v>80.3328</v>
      </c>
      <c r="O57" s="16">
        <v>70.0</v>
      </c>
      <c r="P57" s="16">
        <v>90.0</v>
      </c>
      <c r="Q57" s="16">
        <v>82.9161111111111</v>
      </c>
      <c r="R57" s="16">
        <v>75.0</v>
      </c>
      <c r="S57" s="16">
        <v>90.0</v>
      </c>
      <c r="T57" s="16">
        <v>81.7588888888889</v>
      </c>
      <c r="U57" s="16">
        <v>150.0</v>
      </c>
      <c r="V57" s="16">
        <v>400.0</v>
      </c>
      <c r="W57" s="16">
        <v>292.5</v>
      </c>
      <c r="X57" s="16">
        <v>140.0</v>
      </c>
      <c r="Y57" s="16">
        <v>170.0</v>
      </c>
      <c r="Z57" s="16">
        <v>155.0</v>
      </c>
      <c r="AA57" s="16">
        <v>110.0</v>
      </c>
      <c r="AB57" s="16">
        <v>170.0</v>
      </c>
      <c r="AC57" s="16">
        <v>132.5</v>
      </c>
      <c r="AD57" s="16">
        <v>25.0</v>
      </c>
      <c r="AE57" s="16">
        <v>160.0</v>
      </c>
      <c r="AF57" s="16">
        <v>116.25</v>
      </c>
      <c r="AG57" s="16">
        <v>30.0</v>
      </c>
      <c r="AH57" s="16">
        <v>170.0</v>
      </c>
      <c r="AI57" s="16">
        <v>143.9753846153846</v>
      </c>
      <c r="AJ57" s="16">
        <v>90.0</v>
      </c>
      <c r="AK57" s="16">
        <v>125.0</v>
      </c>
      <c r="AL57" s="17">
        <v>100.4175</v>
      </c>
      <c r="AM57" s="18">
        <v>25.0</v>
      </c>
      <c r="AN57" s="19">
        <v>400.0</v>
      </c>
      <c r="AO57" s="20">
        <v>117.66092951505016</v>
      </c>
    </row>
    <row r="58" ht="15.75" customHeight="1">
      <c r="A58" s="14" t="s">
        <v>73</v>
      </c>
      <c r="B58" s="15" t="s">
        <v>19</v>
      </c>
      <c r="C58" s="16">
        <v>20.0</v>
      </c>
      <c r="D58" s="16">
        <v>35.0</v>
      </c>
      <c r="E58" s="16">
        <v>28.1509523809524</v>
      </c>
      <c r="F58" s="16">
        <v>25.0</v>
      </c>
      <c r="G58" s="16">
        <v>35.0</v>
      </c>
      <c r="H58" s="16">
        <v>28.1856</v>
      </c>
      <c r="I58" s="16">
        <v>25.0</v>
      </c>
      <c r="J58" s="16">
        <v>35.0</v>
      </c>
      <c r="K58" s="16">
        <v>28.1963636363636</v>
      </c>
      <c r="L58" s="16">
        <v>30.0</v>
      </c>
      <c r="M58" s="16">
        <v>40.0</v>
      </c>
      <c r="N58" s="16">
        <v>35.83</v>
      </c>
      <c r="O58" s="16">
        <v>30.0</v>
      </c>
      <c r="P58" s="16">
        <v>45.0</v>
      </c>
      <c r="Q58" s="16">
        <v>38.8894444444444</v>
      </c>
      <c r="R58" s="16">
        <v>25.0</v>
      </c>
      <c r="S58" s="16">
        <v>50.0</v>
      </c>
      <c r="T58" s="16">
        <v>35.3983333333333</v>
      </c>
      <c r="U58" s="16">
        <v>35.0</v>
      </c>
      <c r="V58" s="16">
        <v>50.0</v>
      </c>
      <c r="W58" s="16">
        <v>40.1396</v>
      </c>
      <c r="X58" s="16">
        <v>25.0</v>
      </c>
      <c r="Y58" s="16">
        <v>40.0</v>
      </c>
      <c r="Z58" s="16">
        <v>31.706</v>
      </c>
      <c r="AA58" s="16">
        <v>20.0</v>
      </c>
      <c r="AB58" s="16">
        <v>35.0</v>
      </c>
      <c r="AC58" s="16">
        <v>25.72125</v>
      </c>
      <c r="AD58" s="16">
        <v>20.0</v>
      </c>
      <c r="AE58" s="16">
        <v>160.0</v>
      </c>
      <c r="AF58" s="16">
        <v>30.4761904761905</v>
      </c>
      <c r="AG58" s="16">
        <v>20.0</v>
      </c>
      <c r="AH58" s="16">
        <v>30.0</v>
      </c>
      <c r="AI58" s="16">
        <v>27.2030769230769</v>
      </c>
      <c r="AJ58" s="16"/>
      <c r="AK58" s="16"/>
      <c r="AL58" s="17"/>
      <c r="AM58" s="18">
        <v>20.0</v>
      </c>
      <c r="AN58" s="19">
        <v>160.0</v>
      </c>
      <c r="AO58" s="20">
        <v>31.808801017669193</v>
      </c>
    </row>
    <row r="59" ht="15.75" customHeight="1">
      <c r="A59" s="14" t="s">
        <v>74</v>
      </c>
      <c r="B59" s="15" t="s">
        <v>19</v>
      </c>
      <c r="C59" s="16">
        <v>65.0</v>
      </c>
      <c r="D59" s="16">
        <v>70.0</v>
      </c>
      <c r="E59" s="16">
        <v>68.3230434782609</v>
      </c>
      <c r="F59" s="16">
        <v>60.0</v>
      </c>
      <c r="G59" s="16">
        <v>80.0</v>
      </c>
      <c r="H59" s="16">
        <v>70.5583333333333</v>
      </c>
      <c r="I59" s="16">
        <v>55.0</v>
      </c>
      <c r="J59" s="16">
        <v>80.0</v>
      </c>
      <c r="K59" s="16">
        <v>77.0652</v>
      </c>
      <c r="L59" s="16">
        <v>70.0</v>
      </c>
      <c r="M59" s="16">
        <v>90.0</v>
      </c>
      <c r="N59" s="16">
        <v>81.4488888888889</v>
      </c>
      <c r="O59" s="16">
        <v>45.0</v>
      </c>
      <c r="P59" s="16">
        <v>100.0</v>
      </c>
      <c r="Q59" s="16">
        <v>91.5213043478261</v>
      </c>
      <c r="R59" s="16">
        <v>95.0</v>
      </c>
      <c r="S59" s="16">
        <v>110.0</v>
      </c>
      <c r="T59" s="16">
        <v>98.7483333333333</v>
      </c>
      <c r="U59" s="16">
        <v>95.0</v>
      </c>
      <c r="V59" s="16">
        <v>115.0</v>
      </c>
      <c r="W59" s="16">
        <v>100.398</v>
      </c>
      <c r="X59" s="16">
        <v>95.0</v>
      </c>
      <c r="Y59" s="16">
        <v>105.0</v>
      </c>
      <c r="Z59" s="16">
        <v>100.3991304347826</v>
      </c>
      <c r="AA59" s="16">
        <v>90.0</v>
      </c>
      <c r="AB59" s="16">
        <v>110.0</v>
      </c>
      <c r="AC59" s="16">
        <v>106.145</v>
      </c>
      <c r="AD59" s="16">
        <v>100.0</v>
      </c>
      <c r="AE59" s="16">
        <v>110.0</v>
      </c>
      <c r="AF59" s="16">
        <v>107.1419047619048</v>
      </c>
      <c r="AG59" s="16">
        <v>95.0</v>
      </c>
      <c r="AH59" s="16">
        <v>110.0</v>
      </c>
      <c r="AI59" s="16">
        <v>106.2257894736842</v>
      </c>
      <c r="AJ59" s="16">
        <v>90.0</v>
      </c>
      <c r="AK59" s="16">
        <v>100.0</v>
      </c>
      <c r="AL59" s="17">
        <v>96.234</v>
      </c>
      <c r="AM59" s="18">
        <v>45.0</v>
      </c>
      <c r="AN59" s="19">
        <v>115.0</v>
      </c>
      <c r="AO59" s="20">
        <v>92.01741067100117</v>
      </c>
    </row>
    <row r="60" ht="15.75" customHeight="1">
      <c r="A60" s="14" t="s">
        <v>75</v>
      </c>
      <c r="B60" s="21" t="s">
        <v>19</v>
      </c>
      <c r="C60" s="16">
        <v>60.0</v>
      </c>
      <c r="D60" s="16">
        <v>80.0</v>
      </c>
      <c r="E60" s="16">
        <v>70.3626086956522</v>
      </c>
      <c r="F60" s="16">
        <v>55.0</v>
      </c>
      <c r="G60" s="16">
        <v>80.0</v>
      </c>
      <c r="H60" s="16">
        <v>63.3470833333333</v>
      </c>
      <c r="I60" s="16">
        <v>50.0</v>
      </c>
      <c r="J60" s="16">
        <v>70.0</v>
      </c>
      <c r="K60" s="16">
        <v>58.3495833333333</v>
      </c>
      <c r="L60" s="16">
        <v>45.0</v>
      </c>
      <c r="M60" s="16">
        <v>65.0</v>
      </c>
      <c r="N60" s="16">
        <v>54.7877777777778</v>
      </c>
      <c r="O60" s="16">
        <v>45.0</v>
      </c>
      <c r="P60" s="16">
        <v>60.0</v>
      </c>
      <c r="Q60" s="16">
        <v>50.7977272727273</v>
      </c>
      <c r="R60" s="16">
        <v>40.0</v>
      </c>
      <c r="S60" s="16">
        <v>100.0</v>
      </c>
      <c r="T60" s="16">
        <v>51.4605263157895</v>
      </c>
      <c r="U60" s="16">
        <v>45.0</v>
      </c>
      <c r="V60" s="16">
        <v>75.0</v>
      </c>
      <c r="W60" s="16">
        <v>56.0332</v>
      </c>
      <c r="X60" s="16">
        <v>50.0</v>
      </c>
      <c r="Y60" s="16">
        <v>60.0</v>
      </c>
      <c r="Z60" s="16">
        <v>53.8478260869565</v>
      </c>
      <c r="AA60" s="16">
        <v>45.0</v>
      </c>
      <c r="AB60" s="16">
        <v>65.0</v>
      </c>
      <c r="AC60" s="16">
        <v>55.0895833333333</v>
      </c>
      <c r="AD60" s="16">
        <v>54.0</v>
      </c>
      <c r="AE60" s="16">
        <v>70.0</v>
      </c>
      <c r="AF60" s="16">
        <v>57.9671428571429</v>
      </c>
      <c r="AG60" s="16">
        <v>54.0</v>
      </c>
      <c r="AH60" s="16">
        <v>75.0</v>
      </c>
      <c r="AI60" s="16">
        <v>59.7352631578947</v>
      </c>
      <c r="AJ60" s="16">
        <v>70.0</v>
      </c>
      <c r="AK60" s="16">
        <v>100.0</v>
      </c>
      <c r="AL60" s="17">
        <v>89.6296</v>
      </c>
      <c r="AM60" s="18">
        <v>40.0</v>
      </c>
      <c r="AN60" s="19">
        <v>100.0</v>
      </c>
      <c r="AO60" s="20">
        <v>60.11732684699506</v>
      </c>
    </row>
    <row r="61" ht="15.75" customHeight="1">
      <c r="A61" s="14" t="s">
        <v>76</v>
      </c>
      <c r="B61" s="15" t="s">
        <v>19</v>
      </c>
      <c r="C61" s="16">
        <v>50.0</v>
      </c>
      <c r="D61" s="16">
        <v>60.0</v>
      </c>
      <c r="E61" s="16">
        <v>57.6795652173913</v>
      </c>
      <c r="F61" s="16">
        <v>55.0</v>
      </c>
      <c r="G61" s="16">
        <v>60.0</v>
      </c>
      <c r="H61" s="16">
        <v>57.915</v>
      </c>
      <c r="I61" s="16">
        <v>50.0</v>
      </c>
      <c r="J61" s="16">
        <v>60.0</v>
      </c>
      <c r="K61" s="16">
        <v>58.0644</v>
      </c>
      <c r="L61" s="16">
        <v>50.0</v>
      </c>
      <c r="M61" s="16">
        <v>60.0</v>
      </c>
      <c r="N61" s="16">
        <v>58.2192592592593</v>
      </c>
      <c r="O61" s="16">
        <v>55.0</v>
      </c>
      <c r="P61" s="16">
        <v>60.0</v>
      </c>
      <c r="Q61" s="16">
        <v>58.185652173913</v>
      </c>
      <c r="R61" s="16">
        <v>55.0</v>
      </c>
      <c r="S61" s="16">
        <v>65.0</v>
      </c>
      <c r="T61" s="16">
        <v>59.1652631578947</v>
      </c>
      <c r="U61" s="16">
        <v>55.0</v>
      </c>
      <c r="V61" s="16">
        <v>75.0</v>
      </c>
      <c r="W61" s="16">
        <v>64.266</v>
      </c>
      <c r="X61" s="16">
        <v>65.0</v>
      </c>
      <c r="Y61" s="16">
        <v>70.0</v>
      </c>
      <c r="Z61" s="16">
        <v>67.7526086956522</v>
      </c>
      <c r="AA61" s="16">
        <v>60.0</v>
      </c>
      <c r="AB61" s="16">
        <v>70.0</v>
      </c>
      <c r="AC61" s="16">
        <v>68.0529166666667</v>
      </c>
      <c r="AD61" s="16">
        <v>65.0</v>
      </c>
      <c r="AE61" s="16">
        <v>70.0</v>
      </c>
      <c r="AF61" s="16">
        <v>67.915</v>
      </c>
      <c r="AG61" s="16">
        <v>60.0</v>
      </c>
      <c r="AH61" s="16">
        <v>70.0</v>
      </c>
      <c r="AI61" s="16">
        <v>67.28</v>
      </c>
      <c r="AJ61" s="16">
        <v>60.0</v>
      </c>
      <c r="AK61" s="16">
        <v>70.0</v>
      </c>
      <c r="AL61" s="17">
        <v>66.8004</v>
      </c>
      <c r="AM61" s="18">
        <v>50.0</v>
      </c>
      <c r="AN61" s="19">
        <v>75.0</v>
      </c>
      <c r="AO61" s="20">
        <v>62.608005430898096</v>
      </c>
    </row>
    <row r="62" ht="15.75" customHeight="1">
      <c r="A62" s="14" t="s">
        <v>77</v>
      </c>
      <c r="B62" s="15" t="s">
        <v>19</v>
      </c>
      <c r="C62" s="16">
        <v>90.0</v>
      </c>
      <c r="D62" s="16">
        <v>120.0</v>
      </c>
      <c r="E62" s="16">
        <v>99.3478260869565</v>
      </c>
      <c r="F62" s="16">
        <v>90.0</v>
      </c>
      <c r="G62" s="16">
        <v>125.0</v>
      </c>
      <c r="H62" s="16">
        <v>106.3</v>
      </c>
      <c r="I62" s="16">
        <v>90.0</v>
      </c>
      <c r="J62" s="16">
        <v>125.0</v>
      </c>
      <c r="K62" s="16">
        <v>105.4347826086957</v>
      </c>
      <c r="L62" s="16">
        <v>100.0</v>
      </c>
      <c r="M62" s="16">
        <v>200.0</v>
      </c>
      <c r="N62" s="16">
        <v>139.29</v>
      </c>
      <c r="O62" s="16">
        <v>90.0</v>
      </c>
      <c r="P62" s="16">
        <v>160.0</v>
      </c>
      <c r="Q62" s="16">
        <v>139.2391304347826</v>
      </c>
      <c r="R62" s="16">
        <v>80.0</v>
      </c>
      <c r="S62" s="16">
        <v>150.0</v>
      </c>
      <c r="T62" s="16">
        <v>104.9121052631579</v>
      </c>
      <c r="U62" s="16">
        <v>80.0</v>
      </c>
      <c r="V62" s="16">
        <v>150.0</v>
      </c>
      <c r="W62" s="16">
        <v>108.5</v>
      </c>
      <c r="X62" s="16">
        <v>80.0</v>
      </c>
      <c r="Y62" s="16">
        <v>130.0</v>
      </c>
      <c r="Z62" s="16">
        <v>107.7083333333333</v>
      </c>
      <c r="AA62" s="16">
        <v>35.0</v>
      </c>
      <c r="AB62" s="16">
        <v>130.0</v>
      </c>
      <c r="AC62" s="16">
        <v>105.7291666666667</v>
      </c>
      <c r="AD62" s="16">
        <v>25.0</v>
      </c>
      <c r="AE62" s="16">
        <v>130.0</v>
      </c>
      <c r="AF62" s="16">
        <v>104.3652380952381</v>
      </c>
      <c r="AG62" s="16">
        <v>90.0</v>
      </c>
      <c r="AH62" s="16">
        <v>130.0</v>
      </c>
      <c r="AI62" s="16">
        <v>107.0</v>
      </c>
      <c r="AJ62" s="16">
        <v>85.0</v>
      </c>
      <c r="AK62" s="16">
        <v>170.0</v>
      </c>
      <c r="AL62" s="17">
        <v>117.3</v>
      </c>
      <c r="AM62" s="18">
        <v>25.0</v>
      </c>
      <c r="AN62" s="19">
        <v>200.0</v>
      </c>
      <c r="AO62" s="20">
        <v>112.09388187406923</v>
      </c>
    </row>
    <row r="63" ht="15.75" customHeight="1">
      <c r="A63" s="14" t="s">
        <v>78</v>
      </c>
      <c r="B63" s="15" t="s">
        <v>79</v>
      </c>
      <c r="C63" s="16">
        <v>40.0</v>
      </c>
      <c r="D63" s="16">
        <v>90.0</v>
      </c>
      <c r="E63" s="16">
        <v>60.6521739130435</v>
      </c>
      <c r="F63" s="16">
        <v>45.0</v>
      </c>
      <c r="G63" s="16">
        <v>80.0</v>
      </c>
      <c r="H63" s="16">
        <v>63.1</v>
      </c>
      <c r="I63" s="16">
        <v>40.0</v>
      </c>
      <c r="J63" s="16">
        <v>65.0</v>
      </c>
      <c r="K63" s="16">
        <v>52.9</v>
      </c>
      <c r="L63" s="16">
        <v>40.0</v>
      </c>
      <c r="M63" s="16">
        <v>60.0</v>
      </c>
      <c r="N63" s="16">
        <v>47.2840740740741</v>
      </c>
      <c r="O63" s="16">
        <v>35.0</v>
      </c>
      <c r="P63" s="16">
        <v>60.0</v>
      </c>
      <c r="Q63" s="16">
        <v>46.9565217391304</v>
      </c>
      <c r="R63" s="16">
        <v>35.0</v>
      </c>
      <c r="S63" s="16">
        <v>50.0</v>
      </c>
      <c r="T63" s="16">
        <v>42.3684210526316</v>
      </c>
      <c r="U63" s="16">
        <v>35.0</v>
      </c>
      <c r="V63" s="16">
        <v>55.0</v>
      </c>
      <c r="W63" s="16">
        <v>43.5</v>
      </c>
      <c r="X63" s="16">
        <v>35.0</v>
      </c>
      <c r="Y63" s="16">
        <v>50.0</v>
      </c>
      <c r="Z63" s="16">
        <v>40.2</v>
      </c>
      <c r="AA63" s="16">
        <v>35.0</v>
      </c>
      <c r="AB63" s="16">
        <v>40.0</v>
      </c>
      <c r="AC63" s="16">
        <v>37.5345833333333</v>
      </c>
      <c r="AD63" s="16">
        <v>35.0</v>
      </c>
      <c r="AE63" s="16">
        <v>50.0</v>
      </c>
      <c r="AF63" s="16">
        <v>40.7142857142857</v>
      </c>
      <c r="AG63" s="16">
        <v>35.0</v>
      </c>
      <c r="AH63" s="16">
        <v>50.0</v>
      </c>
      <c r="AI63" s="16">
        <v>41.625</v>
      </c>
      <c r="AJ63" s="16">
        <v>40.0</v>
      </c>
      <c r="AK63" s="16">
        <v>70.0</v>
      </c>
      <c r="AL63" s="17">
        <v>52.7</v>
      </c>
      <c r="AM63" s="18">
        <v>35.0</v>
      </c>
      <c r="AN63" s="19">
        <v>90.0</v>
      </c>
      <c r="AO63" s="20">
        <v>47.46125498554155</v>
      </c>
    </row>
    <row r="64" ht="15.75" customHeight="1">
      <c r="A64" s="14" t="s">
        <v>80</v>
      </c>
      <c r="B64" s="15" t="s">
        <v>81</v>
      </c>
      <c r="C64" s="16">
        <v>200.0</v>
      </c>
      <c r="D64" s="16">
        <v>600.0</v>
      </c>
      <c r="E64" s="16">
        <v>440.0</v>
      </c>
      <c r="F64" s="16">
        <v>100.0</v>
      </c>
      <c r="G64" s="16">
        <v>600.0</v>
      </c>
      <c r="H64" s="16">
        <v>339.0668</v>
      </c>
      <c r="I64" s="16">
        <v>100.0</v>
      </c>
      <c r="J64" s="16">
        <v>500.0</v>
      </c>
      <c r="K64" s="16">
        <v>264.8</v>
      </c>
      <c r="L64" s="16">
        <v>100.0</v>
      </c>
      <c r="M64" s="16">
        <v>500.0</v>
      </c>
      <c r="N64" s="16">
        <v>208.6111111111111</v>
      </c>
      <c r="O64" s="16">
        <v>100.0</v>
      </c>
      <c r="P64" s="16">
        <v>400.0</v>
      </c>
      <c r="Q64" s="16">
        <v>265.0</v>
      </c>
      <c r="R64" s="16">
        <v>200.0</v>
      </c>
      <c r="S64" s="16">
        <v>400.0</v>
      </c>
      <c r="T64" s="16">
        <v>273.0263157894737</v>
      </c>
      <c r="U64" s="16">
        <v>100.0</v>
      </c>
      <c r="V64" s="16">
        <v>400.0</v>
      </c>
      <c r="W64" s="16">
        <v>276.96</v>
      </c>
      <c r="X64" s="16">
        <v>100.0</v>
      </c>
      <c r="Y64" s="16">
        <v>300.0</v>
      </c>
      <c r="Z64" s="16">
        <v>197.2</v>
      </c>
      <c r="AA64" s="16">
        <v>100.0</v>
      </c>
      <c r="AB64" s="16">
        <v>300.0</v>
      </c>
      <c r="AC64" s="16">
        <v>176.5625</v>
      </c>
      <c r="AD64" s="16">
        <v>100.0</v>
      </c>
      <c r="AE64" s="16">
        <v>400.0</v>
      </c>
      <c r="AF64" s="16">
        <v>253.6904761904762</v>
      </c>
      <c r="AG64" s="16">
        <v>200.0</v>
      </c>
      <c r="AH64" s="16">
        <v>600.0</v>
      </c>
      <c r="AI64" s="16">
        <v>340.5</v>
      </c>
      <c r="AJ64" s="16">
        <v>200.0</v>
      </c>
      <c r="AK64" s="16">
        <v>600.0</v>
      </c>
      <c r="AL64" s="17">
        <v>421.2</v>
      </c>
      <c r="AM64" s="18">
        <v>100.0</v>
      </c>
      <c r="AN64" s="19">
        <v>600.0</v>
      </c>
      <c r="AO64" s="20">
        <v>288.0514335909218</v>
      </c>
    </row>
    <row r="65" ht="15.75" customHeight="1">
      <c r="A65" s="14" t="s">
        <v>82</v>
      </c>
      <c r="B65" s="15" t="s">
        <v>19</v>
      </c>
      <c r="C65" s="16">
        <v>350.0</v>
      </c>
      <c r="D65" s="16">
        <v>475.0</v>
      </c>
      <c r="E65" s="16">
        <v>423.804347826087</v>
      </c>
      <c r="F65" s="16">
        <v>65.0</v>
      </c>
      <c r="G65" s="16">
        <v>450.0</v>
      </c>
      <c r="H65" s="16">
        <v>296.6666666666667</v>
      </c>
      <c r="I65" s="16">
        <v>150.0</v>
      </c>
      <c r="J65" s="16">
        <v>225.0</v>
      </c>
      <c r="K65" s="16">
        <v>185.4</v>
      </c>
      <c r="L65" s="16">
        <v>160.0</v>
      </c>
      <c r="M65" s="16">
        <v>250.0</v>
      </c>
      <c r="N65" s="16">
        <v>195.1923076923077</v>
      </c>
      <c r="O65" s="16">
        <v>180.0</v>
      </c>
      <c r="P65" s="16">
        <v>220.0</v>
      </c>
      <c r="Q65" s="16">
        <v>196.6304347826087</v>
      </c>
      <c r="R65" s="16">
        <v>180.0</v>
      </c>
      <c r="S65" s="16">
        <v>300.0</v>
      </c>
      <c r="T65" s="16">
        <v>217.7194736842105</v>
      </c>
      <c r="U65" s="16">
        <v>240.0</v>
      </c>
      <c r="V65" s="16">
        <v>350.0</v>
      </c>
      <c r="W65" s="16">
        <v>276.5970833333333</v>
      </c>
      <c r="X65" s="16">
        <v>250.0</v>
      </c>
      <c r="Y65" s="16">
        <v>280.0</v>
      </c>
      <c r="Z65" s="16">
        <v>265.2</v>
      </c>
      <c r="AA65" s="16">
        <v>245.0</v>
      </c>
      <c r="AB65" s="16">
        <v>325.0</v>
      </c>
      <c r="AC65" s="16">
        <v>267.6041666666667</v>
      </c>
      <c r="AD65" s="16">
        <v>260.0</v>
      </c>
      <c r="AE65" s="16">
        <v>340.0</v>
      </c>
      <c r="AF65" s="16">
        <v>301.0714285714286</v>
      </c>
      <c r="AG65" s="16">
        <v>260.0</v>
      </c>
      <c r="AH65" s="16">
        <v>325.0</v>
      </c>
      <c r="AI65" s="16">
        <v>297.125</v>
      </c>
      <c r="AJ65" s="16">
        <v>240.0</v>
      </c>
      <c r="AK65" s="16">
        <v>280.0</v>
      </c>
      <c r="AL65" s="17">
        <v>256.25</v>
      </c>
      <c r="AM65" s="18">
        <v>65.0</v>
      </c>
      <c r="AN65" s="19">
        <v>475.0</v>
      </c>
      <c r="AO65" s="20">
        <v>264.93840910194245</v>
      </c>
    </row>
    <row r="66" ht="15.75" customHeight="1">
      <c r="A66" s="14" t="s">
        <v>83</v>
      </c>
      <c r="B66" s="15" t="s">
        <v>19</v>
      </c>
      <c r="C66" s="16">
        <v>70.0</v>
      </c>
      <c r="D66" s="16">
        <v>130.0</v>
      </c>
      <c r="E66" s="16">
        <v>101.1363636363636</v>
      </c>
      <c r="F66" s="16">
        <v>50.0</v>
      </c>
      <c r="G66" s="16">
        <v>70.0</v>
      </c>
      <c r="H66" s="16">
        <v>63.1</v>
      </c>
      <c r="I66" s="16">
        <v>40.0</v>
      </c>
      <c r="J66" s="16">
        <v>80.0</v>
      </c>
      <c r="K66" s="16">
        <v>57.0332</v>
      </c>
      <c r="L66" s="16">
        <v>60.0</v>
      </c>
      <c r="M66" s="16">
        <v>100.0</v>
      </c>
      <c r="N66" s="16">
        <v>77.0677777777778</v>
      </c>
      <c r="O66" s="16">
        <v>80.0</v>
      </c>
      <c r="P66" s="16">
        <v>150.0</v>
      </c>
      <c r="Q66" s="16">
        <v>116.4285714285714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7"/>
      <c r="AM66" s="18">
        <v>40.0</v>
      </c>
      <c r="AN66" s="19">
        <v>150.0</v>
      </c>
      <c r="AO66" s="20">
        <v>82.95318256854257</v>
      </c>
    </row>
    <row r="67" ht="15.75" customHeight="1">
      <c r="A67" s="14" t="s">
        <v>84</v>
      </c>
      <c r="B67" s="15" t="s">
        <v>19</v>
      </c>
      <c r="C67" s="16">
        <v>125.0</v>
      </c>
      <c r="D67" s="16">
        <v>225.0</v>
      </c>
      <c r="E67" s="16">
        <v>163.9772727272727</v>
      </c>
      <c r="F67" s="16">
        <v>200.0</v>
      </c>
      <c r="G67" s="16">
        <v>310.0</v>
      </c>
      <c r="H67" s="16">
        <v>259.0384615384615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>
        <v>240.0</v>
      </c>
      <c r="AB67" s="16">
        <v>290.0</v>
      </c>
      <c r="AC67" s="16">
        <v>274.1666666666667</v>
      </c>
      <c r="AD67" s="16">
        <v>105.0</v>
      </c>
      <c r="AE67" s="16">
        <v>150.0</v>
      </c>
      <c r="AF67" s="16">
        <v>133.4210526315789</v>
      </c>
      <c r="AG67" s="16">
        <v>80.0</v>
      </c>
      <c r="AH67" s="16">
        <v>115.0</v>
      </c>
      <c r="AI67" s="16">
        <v>97.375</v>
      </c>
      <c r="AJ67" s="16">
        <v>90.0</v>
      </c>
      <c r="AK67" s="16">
        <v>100.0</v>
      </c>
      <c r="AL67" s="17">
        <v>93.9</v>
      </c>
      <c r="AM67" s="18">
        <v>80.0</v>
      </c>
      <c r="AN67" s="19">
        <v>310.0</v>
      </c>
      <c r="AO67" s="20">
        <v>170.31307559399661</v>
      </c>
    </row>
    <row r="68" ht="15.75" customHeight="1">
      <c r="A68" s="14" t="s">
        <v>85</v>
      </c>
      <c r="B68" s="15" t="s">
        <v>19</v>
      </c>
      <c r="C68" s="16">
        <v>90.0</v>
      </c>
      <c r="D68" s="16">
        <v>160.0</v>
      </c>
      <c r="E68" s="16">
        <v>115.5304545454545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>
        <v>60.0</v>
      </c>
      <c r="S68" s="16">
        <v>100.0</v>
      </c>
      <c r="T68" s="16">
        <v>70.0</v>
      </c>
      <c r="U68" s="16">
        <v>22.0</v>
      </c>
      <c r="V68" s="16">
        <v>90.0</v>
      </c>
      <c r="W68" s="16">
        <v>48.8528</v>
      </c>
      <c r="X68" s="16">
        <v>25.0</v>
      </c>
      <c r="Y68" s="16">
        <v>55.0</v>
      </c>
      <c r="Z68" s="16">
        <v>41.344</v>
      </c>
      <c r="AA68" s="16">
        <v>35.0</v>
      </c>
      <c r="AB68" s="16">
        <v>65.0</v>
      </c>
      <c r="AC68" s="16">
        <v>47.45</v>
      </c>
      <c r="AD68" s="16">
        <v>40.0</v>
      </c>
      <c r="AE68" s="16">
        <v>75.0</v>
      </c>
      <c r="AF68" s="16">
        <v>54.2142857142857</v>
      </c>
      <c r="AG68" s="16">
        <v>40.0</v>
      </c>
      <c r="AH68" s="16">
        <v>75.0</v>
      </c>
      <c r="AI68" s="16">
        <v>60.19</v>
      </c>
      <c r="AJ68" s="16">
        <v>60.0</v>
      </c>
      <c r="AK68" s="16">
        <v>100.0</v>
      </c>
      <c r="AL68" s="17">
        <v>75.0416666666667</v>
      </c>
      <c r="AM68" s="18">
        <v>22.0</v>
      </c>
      <c r="AN68" s="19">
        <v>160.0</v>
      </c>
      <c r="AO68" s="20">
        <v>64.07790086580086</v>
      </c>
    </row>
    <row r="69" ht="15.75" customHeight="1">
      <c r="A69" s="14" t="s">
        <v>86</v>
      </c>
      <c r="B69" s="15" t="s">
        <v>19</v>
      </c>
      <c r="C69" s="16">
        <v>12.0</v>
      </c>
      <c r="D69" s="16">
        <v>22.0</v>
      </c>
      <c r="E69" s="16">
        <v>14.845652173913</v>
      </c>
      <c r="F69" s="16">
        <v>10.0</v>
      </c>
      <c r="G69" s="16">
        <v>18.0</v>
      </c>
      <c r="H69" s="16">
        <v>13.9152</v>
      </c>
      <c r="I69" s="16">
        <v>15.0</v>
      </c>
      <c r="J69" s="16">
        <v>45.0</v>
      </c>
      <c r="K69" s="16">
        <v>22.2572</v>
      </c>
      <c r="L69" s="16">
        <v>35.0</v>
      </c>
      <c r="M69" s="16">
        <v>50.0</v>
      </c>
      <c r="N69" s="16">
        <v>45.1851851851852</v>
      </c>
      <c r="O69" s="16">
        <v>35.0</v>
      </c>
      <c r="P69" s="16">
        <v>50.0</v>
      </c>
      <c r="Q69" s="16">
        <v>42.5</v>
      </c>
      <c r="R69" s="16">
        <v>35.0</v>
      </c>
      <c r="S69" s="16">
        <v>50.0</v>
      </c>
      <c r="T69" s="16">
        <v>43.2894736842105</v>
      </c>
      <c r="U69" s="16">
        <v>40.0</v>
      </c>
      <c r="V69" s="16">
        <v>50.0</v>
      </c>
      <c r="W69" s="16">
        <v>44.1</v>
      </c>
      <c r="X69" s="16">
        <v>40.0</v>
      </c>
      <c r="Y69" s="16">
        <v>50.0</v>
      </c>
      <c r="Z69" s="16">
        <v>43.8</v>
      </c>
      <c r="AA69" s="16">
        <v>35.0</v>
      </c>
      <c r="AB69" s="16">
        <v>50.0</v>
      </c>
      <c r="AC69" s="16">
        <v>45.5208333333333</v>
      </c>
      <c r="AD69" s="16">
        <v>35.0</v>
      </c>
      <c r="AE69" s="16">
        <v>45.0</v>
      </c>
      <c r="AF69" s="16">
        <v>40.1190476190476</v>
      </c>
      <c r="AG69" s="16">
        <v>30.0</v>
      </c>
      <c r="AH69" s="16">
        <v>70.0</v>
      </c>
      <c r="AI69" s="16">
        <v>43.125</v>
      </c>
      <c r="AJ69" s="16">
        <v>18.0</v>
      </c>
      <c r="AK69" s="16">
        <v>38.0</v>
      </c>
      <c r="AL69" s="17">
        <v>25.4216</v>
      </c>
      <c r="AM69" s="18">
        <v>10.0</v>
      </c>
      <c r="AN69" s="19">
        <v>70.0</v>
      </c>
      <c r="AO69" s="20">
        <v>35.33993266630747</v>
      </c>
    </row>
    <row r="70" ht="15.75" customHeight="1">
      <c r="A70" s="14" t="s">
        <v>87</v>
      </c>
      <c r="B70" s="15" t="s">
        <v>19</v>
      </c>
      <c r="C70" s="16">
        <v>75.0</v>
      </c>
      <c r="D70" s="16">
        <v>120.0</v>
      </c>
      <c r="E70" s="16">
        <v>95.9782608695652</v>
      </c>
      <c r="F70" s="16">
        <v>100.0</v>
      </c>
      <c r="G70" s="16">
        <v>120.0</v>
      </c>
      <c r="H70" s="16">
        <v>108.7272727272727</v>
      </c>
      <c r="I70" s="16">
        <v>80.0</v>
      </c>
      <c r="J70" s="16">
        <v>110.0</v>
      </c>
      <c r="K70" s="16">
        <v>93.1</v>
      </c>
      <c r="L70" s="16">
        <v>80.0</v>
      </c>
      <c r="M70" s="16">
        <v>110.0</v>
      </c>
      <c r="N70" s="16">
        <v>88.4</v>
      </c>
      <c r="O70" s="16">
        <v>65.0</v>
      </c>
      <c r="P70" s="16">
        <v>85.0</v>
      </c>
      <c r="Q70" s="16">
        <v>77.0652173913043</v>
      </c>
      <c r="R70" s="16">
        <v>60.0</v>
      </c>
      <c r="S70" s="16">
        <v>70.0</v>
      </c>
      <c r="T70" s="16">
        <v>63.8888888888889</v>
      </c>
      <c r="U70" s="16">
        <v>60.0</v>
      </c>
      <c r="V70" s="16">
        <v>85.0</v>
      </c>
      <c r="W70" s="16">
        <v>68.6</v>
      </c>
      <c r="X70" s="16">
        <v>65.0</v>
      </c>
      <c r="Y70" s="16">
        <v>75.0</v>
      </c>
      <c r="Z70" s="16">
        <v>68.3</v>
      </c>
      <c r="AA70" s="16">
        <v>60.0</v>
      </c>
      <c r="AB70" s="16">
        <v>70.0</v>
      </c>
      <c r="AC70" s="16">
        <v>67.1875</v>
      </c>
      <c r="AD70" s="16">
        <v>60.0</v>
      </c>
      <c r="AE70" s="16">
        <v>70.0</v>
      </c>
      <c r="AF70" s="16">
        <v>66.5</v>
      </c>
      <c r="AG70" s="16">
        <v>60.0</v>
      </c>
      <c r="AH70" s="16">
        <v>75.0</v>
      </c>
      <c r="AI70" s="16">
        <v>67.3684210526316</v>
      </c>
      <c r="AJ70" s="16">
        <v>60.0</v>
      </c>
      <c r="AK70" s="16">
        <v>70.0</v>
      </c>
      <c r="AL70" s="17">
        <v>65.3125</v>
      </c>
      <c r="AM70" s="18">
        <v>60.0</v>
      </c>
      <c r="AN70" s="19">
        <v>120.0</v>
      </c>
      <c r="AO70" s="20">
        <v>77.53567174413857</v>
      </c>
    </row>
    <row r="71" ht="15.75" customHeight="1">
      <c r="A71" s="14" t="s">
        <v>88</v>
      </c>
      <c r="B71" s="15" t="s">
        <v>19</v>
      </c>
      <c r="C71" s="16"/>
      <c r="D71" s="16"/>
      <c r="E71" s="16"/>
      <c r="F71" s="16"/>
      <c r="G71" s="16"/>
      <c r="H71" s="16"/>
      <c r="I71" s="16"/>
      <c r="J71" s="16"/>
      <c r="K71" s="16"/>
      <c r="L71" s="16">
        <v>80.0</v>
      </c>
      <c r="M71" s="16">
        <v>90.0</v>
      </c>
      <c r="N71" s="16">
        <v>85.0</v>
      </c>
      <c r="O71" s="16"/>
      <c r="P71" s="16"/>
      <c r="Q71" s="16"/>
      <c r="R71" s="16"/>
      <c r="S71" s="16"/>
      <c r="T71" s="16"/>
      <c r="U71" s="16">
        <v>20.0</v>
      </c>
      <c r="V71" s="16">
        <v>35.0</v>
      </c>
      <c r="W71" s="16">
        <v>24.7</v>
      </c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7"/>
      <c r="AM71" s="18">
        <v>20.0</v>
      </c>
      <c r="AN71" s="19">
        <v>90.0</v>
      </c>
      <c r="AO71" s="20">
        <v>54.85</v>
      </c>
    </row>
    <row r="72" ht="15.75" customHeight="1">
      <c r="A72" s="14" t="s">
        <v>89</v>
      </c>
      <c r="B72" s="15" t="s">
        <v>90</v>
      </c>
      <c r="C72" s="16">
        <v>80.0</v>
      </c>
      <c r="D72" s="16">
        <v>100.0</v>
      </c>
      <c r="E72" s="16">
        <v>88.0434782608696</v>
      </c>
      <c r="F72" s="16">
        <v>18.0</v>
      </c>
      <c r="G72" s="16">
        <v>90.0</v>
      </c>
      <c r="H72" s="16">
        <v>82.22</v>
      </c>
      <c r="I72" s="16">
        <v>60.0</v>
      </c>
      <c r="J72" s="16">
        <v>90.0</v>
      </c>
      <c r="K72" s="16">
        <v>72.2</v>
      </c>
      <c r="L72" s="16">
        <v>65.0</v>
      </c>
      <c r="M72" s="16">
        <v>80.0</v>
      </c>
      <c r="N72" s="16">
        <v>70.2777777777778</v>
      </c>
      <c r="O72" s="16">
        <v>60.0</v>
      </c>
      <c r="P72" s="16">
        <v>80.0</v>
      </c>
      <c r="Q72" s="16">
        <v>67.7534782608696</v>
      </c>
      <c r="R72" s="16">
        <v>55.0</v>
      </c>
      <c r="S72" s="16">
        <v>75.0</v>
      </c>
      <c r="T72" s="16">
        <v>63.9473684210526</v>
      </c>
      <c r="U72" s="16">
        <v>55.0</v>
      </c>
      <c r="V72" s="16">
        <v>105.0</v>
      </c>
      <c r="W72" s="16">
        <v>68.4782608695652</v>
      </c>
      <c r="X72" s="16">
        <v>60.0</v>
      </c>
      <c r="Y72" s="16">
        <v>70.0</v>
      </c>
      <c r="Z72" s="16">
        <v>63.2291666666667</v>
      </c>
      <c r="AA72" s="16">
        <v>60.0</v>
      </c>
      <c r="AB72" s="16">
        <v>65.0</v>
      </c>
      <c r="AC72" s="16">
        <v>62.5</v>
      </c>
      <c r="AD72" s="16">
        <v>55.0</v>
      </c>
      <c r="AE72" s="16">
        <v>75.0</v>
      </c>
      <c r="AF72" s="16">
        <v>62.7380952380952</v>
      </c>
      <c r="AG72" s="16">
        <v>60.0</v>
      </c>
      <c r="AH72" s="16">
        <v>80.0</v>
      </c>
      <c r="AI72" s="16">
        <v>68.25</v>
      </c>
      <c r="AJ72" s="16">
        <v>60.0</v>
      </c>
      <c r="AK72" s="16">
        <v>75.0</v>
      </c>
      <c r="AL72" s="17">
        <v>68.7</v>
      </c>
      <c r="AM72" s="18">
        <v>18.0</v>
      </c>
      <c r="AN72" s="19">
        <v>105.0</v>
      </c>
      <c r="AO72" s="20">
        <v>69.86146879124139</v>
      </c>
    </row>
    <row r="73" ht="15.75" customHeight="1">
      <c r="A73" s="14" t="s">
        <v>91</v>
      </c>
      <c r="B73" s="15" t="s">
        <v>19</v>
      </c>
      <c r="C73" s="16">
        <v>10.0</v>
      </c>
      <c r="D73" s="16">
        <v>22.0</v>
      </c>
      <c r="E73" s="16">
        <v>15.3934782608696</v>
      </c>
      <c r="F73" s="16">
        <v>10.0</v>
      </c>
      <c r="G73" s="16">
        <v>36.0</v>
      </c>
      <c r="H73" s="16">
        <v>18.1412</v>
      </c>
      <c r="I73" s="16">
        <v>16.0</v>
      </c>
      <c r="J73" s="16">
        <v>36.0</v>
      </c>
      <c r="K73" s="16">
        <v>25.576</v>
      </c>
      <c r="L73" s="16">
        <v>14.0</v>
      </c>
      <c r="M73" s="16">
        <v>36.0</v>
      </c>
      <c r="N73" s="16">
        <v>22.6518518518519</v>
      </c>
      <c r="O73" s="16">
        <v>16.0</v>
      </c>
      <c r="P73" s="16">
        <v>45.0</v>
      </c>
      <c r="Q73" s="16">
        <v>27.1304347826087</v>
      </c>
      <c r="R73" s="16">
        <v>18.0</v>
      </c>
      <c r="S73" s="16">
        <v>40.0</v>
      </c>
      <c r="T73" s="16">
        <v>29.4910526315789</v>
      </c>
      <c r="U73" s="16">
        <v>15.0</v>
      </c>
      <c r="V73" s="16">
        <v>60.0</v>
      </c>
      <c r="W73" s="16">
        <v>39.892</v>
      </c>
      <c r="X73" s="16">
        <v>12.0</v>
      </c>
      <c r="Y73" s="16">
        <v>40.0</v>
      </c>
      <c r="Z73" s="16">
        <v>22.58</v>
      </c>
      <c r="AA73" s="16">
        <v>10.0</v>
      </c>
      <c r="AB73" s="16">
        <v>24.0</v>
      </c>
      <c r="AC73" s="16">
        <v>18.4220833333333</v>
      </c>
      <c r="AD73" s="16">
        <v>22.0</v>
      </c>
      <c r="AE73" s="16">
        <v>32.0</v>
      </c>
      <c r="AF73" s="16">
        <v>27.3547619047619</v>
      </c>
      <c r="AG73" s="16">
        <v>18.0</v>
      </c>
      <c r="AH73" s="16">
        <v>70.0</v>
      </c>
      <c r="AI73" s="16">
        <v>29.0305263157895</v>
      </c>
      <c r="AJ73" s="16">
        <v>24.0</v>
      </c>
      <c r="AK73" s="16">
        <v>55.0</v>
      </c>
      <c r="AL73" s="17">
        <v>33.878</v>
      </c>
      <c r="AM73" s="18">
        <v>10.0</v>
      </c>
      <c r="AN73" s="19">
        <v>70.0</v>
      </c>
      <c r="AO73" s="20">
        <v>25.795115756732816</v>
      </c>
    </row>
    <row r="74" ht="15.75" customHeight="1">
      <c r="A74" s="14" t="s">
        <v>92</v>
      </c>
      <c r="B74" s="15" t="s">
        <v>19</v>
      </c>
      <c r="C74" s="16">
        <v>20.0</v>
      </c>
      <c r="D74" s="16">
        <v>40.0</v>
      </c>
      <c r="E74" s="16">
        <v>28.645652173913</v>
      </c>
      <c r="F74" s="16">
        <v>12.0</v>
      </c>
      <c r="G74" s="16">
        <v>26.0</v>
      </c>
      <c r="H74" s="16">
        <v>17.8047826086957</v>
      </c>
      <c r="I74" s="16">
        <v>14.0</v>
      </c>
      <c r="J74" s="16">
        <v>26.0</v>
      </c>
      <c r="K74" s="16">
        <v>19.0028</v>
      </c>
      <c r="L74" s="16">
        <v>10.0</v>
      </c>
      <c r="M74" s="16">
        <v>22.0</v>
      </c>
      <c r="N74" s="16">
        <v>14.0625</v>
      </c>
      <c r="O74" s="16">
        <v>8.0</v>
      </c>
      <c r="P74" s="16">
        <v>12.0</v>
      </c>
      <c r="Q74" s="16">
        <v>10.8571428571429</v>
      </c>
      <c r="R74" s="16"/>
      <c r="S74" s="16"/>
      <c r="T74" s="16"/>
      <c r="U74" s="16"/>
      <c r="V74" s="16"/>
      <c r="W74" s="16"/>
      <c r="X74" s="16">
        <v>58.0</v>
      </c>
      <c r="Y74" s="16">
        <v>80.0</v>
      </c>
      <c r="Z74" s="16">
        <v>65.0</v>
      </c>
      <c r="AA74" s="16">
        <v>45.0</v>
      </c>
      <c r="AB74" s="16">
        <v>80.0</v>
      </c>
      <c r="AC74" s="16">
        <v>61.9444444444444</v>
      </c>
      <c r="AD74" s="16">
        <v>50.0</v>
      </c>
      <c r="AE74" s="16">
        <v>80.0</v>
      </c>
      <c r="AF74" s="16">
        <v>69.6666666666667</v>
      </c>
      <c r="AG74" s="16">
        <v>40.0</v>
      </c>
      <c r="AH74" s="16">
        <v>70.0</v>
      </c>
      <c r="AI74" s="16">
        <v>56.484375</v>
      </c>
      <c r="AJ74" s="16">
        <v>35.0</v>
      </c>
      <c r="AK74" s="16">
        <v>60.0</v>
      </c>
      <c r="AL74" s="17">
        <v>44.1491666666667</v>
      </c>
      <c r="AM74" s="18">
        <v>8.0</v>
      </c>
      <c r="AN74" s="19">
        <v>80.0</v>
      </c>
      <c r="AO74" s="20">
        <v>38.76175304175293</v>
      </c>
    </row>
    <row r="75" ht="15.75" customHeight="1">
      <c r="A75" s="14" t="s">
        <v>93</v>
      </c>
      <c r="B75" s="15" t="s">
        <v>19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>
        <v>20.0</v>
      </c>
      <c r="S75" s="16">
        <v>25.0</v>
      </c>
      <c r="T75" s="16">
        <v>23.125</v>
      </c>
      <c r="U75" s="16">
        <v>20.0</v>
      </c>
      <c r="V75" s="16">
        <v>35.0</v>
      </c>
      <c r="W75" s="16">
        <v>25.3235294117647</v>
      </c>
      <c r="X75" s="16">
        <v>20.0</v>
      </c>
      <c r="Y75" s="16">
        <v>25.0</v>
      </c>
      <c r="Z75" s="16">
        <v>22.8333333333333</v>
      </c>
      <c r="AA75" s="16">
        <v>20.0</v>
      </c>
      <c r="AB75" s="16">
        <v>25.0</v>
      </c>
      <c r="AC75" s="16">
        <v>22.1136363636364</v>
      </c>
      <c r="AD75" s="16">
        <v>20.0</v>
      </c>
      <c r="AE75" s="16">
        <v>75.0</v>
      </c>
      <c r="AF75" s="16">
        <v>35.0</v>
      </c>
      <c r="AG75" s="16"/>
      <c r="AH75" s="16"/>
      <c r="AI75" s="16"/>
      <c r="AJ75" s="16"/>
      <c r="AK75" s="16"/>
      <c r="AL75" s="17"/>
      <c r="AM75" s="18">
        <v>20.0</v>
      </c>
      <c r="AN75" s="19">
        <v>75.0</v>
      </c>
      <c r="AO75" s="20">
        <v>25.679099821746878</v>
      </c>
    </row>
    <row r="76" ht="15.75" customHeight="1">
      <c r="A76" s="14" t="s">
        <v>94</v>
      </c>
      <c r="B76" s="15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8.0</v>
      </c>
      <c r="V76" s="16">
        <v>35.0</v>
      </c>
      <c r="W76" s="16">
        <v>18.5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7"/>
      <c r="AM76" s="18">
        <v>8.0</v>
      </c>
      <c r="AN76" s="19">
        <v>35.0</v>
      </c>
      <c r="AO76" s="20">
        <v>18.5</v>
      </c>
    </row>
    <row r="77" ht="15.75" customHeight="1">
      <c r="A77" s="14" t="s">
        <v>95</v>
      </c>
      <c r="B77" s="15" t="s">
        <v>19</v>
      </c>
      <c r="C77" s="16">
        <v>110.0</v>
      </c>
      <c r="D77" s="16">
        <v>130.0</v>
      </c>
      <c r="E77" s="16">
        <v>117.0238095238095</v>
      </c>
      <c r="F77" s="16">
        <v>100.0</v>
      </c>
      <c r="G77" s="16">
        <v>125.0</v>
      </c>
      <c r="H77" s="16">
        <v>115.3571428571429</v>
      </c>
      <c r="I77" s="16">
        <v>90.0</v>
      </c>
      <c r="J77" s="16">
        <v>115.0</v>
      </c>
      <c r="K77" s="16">
        <v>103.5714285714286</v>
      </c>
      <c r="L77" s="16">
        <v>10.0</v>
      </c>
      <c r="M77" s="16">
        <v>30.0</v>
      </c>
      <c r="N77" s="16">
        <v>17.8566666666667</v>
      </c>
      <c r="O77" s="16">
        <v>16.0</v>
      </c>
      <c r="P77" s="16">
        <v>25.0</v>
      </c>
      <c r="Q77" s="16">
        <v>20.0752173913043</v>
      </c>
      <c r="R77" s="16">
        <v>16.0</v>
      </c>
      <c r="S77" s="16">
        <v>130.0</v>
      </c>
      <c r="T77" s="16">
        <v>60.2589473684211</v>
      </c>
      <c r="U77" s="16">
        <v>55.0</v>
      </c>
      <c r="V77" s="16">
        <v>130.0</v>
      </c>
      <c r="W77" s="16">
        <v>108.8541666666667</v>
      </c>
      <c r="X77" s="16">
        <v>110.0</v>
      </c>
      <c r="Y77" s="16">
        <v>130.0</v>
      </c>
      <c r="Z77" s="16">
        <v>120.02</v>
      </c>
      <c r="AA77" s="16">
        <v>90.0</v>
      </c>
      <c r="AB77" s="16">
        <v>125.0</v>
      </c>
      <c r="AC77" s="16">
        <v>104.6875</v>
      </c>
      <c r="AD77" s="16">
        <v>90.0</v>
      </c>
      <c r="AE77" s="16">
        <v>120.0</v>
      </c>
      <c r="AF77" s="16">
        <v>99.7619047619048</v>
      </c>
      <c r="AG77" s="16">
        <v>100.0</v>
      </c>
      <c r="AH77" s="16">
        <v>125.0</v>
      </c>
      <c r="AI77" s="16">
        <v>115.3947368421053</v>
      </c>
      <c r="AJ77" s="16">
        <v>90.0</v>
      </c>
      <c r="AK77" s="16">
        <v>125.0</v>
      </c>
      <c r="AL77" s="17">
        <v>111.25</v>
      </c>
      <c r="AM77" s="18">
        <v>10.0</v>
      </c>
      <c r="AN77" s="19">
        <v>130.0</v>
      </c>
      <c r="AO77" s="20">
        <v>91.17596005412082</v>
      </c>
    </row>
    <row r="78" ht="15.75" customHeight="1">
      <c r="A78" s="14" t="s">
        <v>96</v>
      </c>
      <c r="B78" s="15" t="s">
        <v>19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>
        <v>70.0</v>
      </c>
      <c r="AE78" s="16">
        <v>80.0</v>
      </c>
      <c r="AF78" s="16">
        <v>74.6428571428571</v>
      </c>
      <c r="AG78" s="16">
        <v>60.0</v>
      </c>
      <c r="AH78" s="16">
        <v>70.0</v>
      </c>
      <c r="AI78" s="16">
        <v>65.8928571428571</v>
      </c>
      <c r="AJ78" s="16">
        <v>60.0</v>
      </c>
      <c r="AK78" s="16">
        <v>70.0</v>
      </c>
      <c r="AL78" s="17">
        <v>63.0681818181818</v>
      </c>
      <c r="AM78" s="18">
        <v>60.0</v>
      </c>
      <c r="AN78" s="19">
        <v>80.0</v>
      </c>
      <c r="AO78" s="20">
        <v>67.86796536796533</v>
      </c>
    </row>
    <row r="79" ht="15.75" customHeight="1">
      <c r="A79" s="14" t="s">
        <v>97</v>
      </c>
      <c r="B79" s="15" t="s">
        <v>19</v>
      </c>
      <c r="C79" s="16">
        <v>25.0</v>
      </c>
      <c r="D79" s="16">
        <v>40.0</v>
      </c>
      <c r="E79" s="16">
        <v>31.9136363636364</v>
      </c>
      <c r="F79" s="16">
        <v>25.0</v>
      </c>
      <c r="G79" s="16">
        <v>38.0</v>
      </c>
      <c r="H79" s="16">
        <v>29.0191304347826</v>
      </c>
      <c r="I79" s="16">
        <v>40.0</v>
      </c>
      <c r="J79" s="16">
        <v>50.0</v>
      </c>
      <c r="K79" s="16">
        <v>45.8</v>
      </c>
      <c r="L79" s="16">
        <v>40.0</v>
      </c>
      <c r="M79" s="16">
        <v>50.0</v>
      </c>
      <c r="N79" s="16">
        <v>45.8</v>
      </c>
      <c r="O79" s="16">
        <v>40.0</v>
      </c>
      <c r="P79" s="16">
        <v>70.0</v>
      </c>
      <c r="Q79" s="16">
        <v>45.29</v>
      </c>
      <c r="R79" s="16">
        <v>25.0</v>
      </c>
      <c r="S79" s="16">
        <v>50.0</v>
      </c>
      <c r="T79" s="16">
        <v>39.0833333333333</v>
      </c>
      <c r="U79" s="16">
        <v>20.0</v>
      </c>
      <c r="V79" s="16">
        <v>60.0</v>
      </c>
      <c r="W79" s="16">
        <v>33.6896</v>
      </c>
      <c r="X79" s="16">
        <v>16.0</v>
      </c>
      <c r="Y79" s="16">
        <v>26.0</v>
      </c>
      <c r="Z79" s="16">
        <v>22.0632</v>
      </c>
      <c r="AA79" s="16">
        <v>18.0</v>
      </c>
      <c r="AB79" s="16">
        <v>25.0</v>
      </c>
      <c r="AC79" s="16">
        <v>20.9825</v>
      </c>
      <c r="AD79" s="16">
        <v>30.0</v>
      </c>
      <c r="AE79" s="16">
        <v>50.0</v>
      </c>
      <c r="AF79" s="16">
        <v>40.4761904761905</v>
      </c>
      <c r="AG79" s="16">
        <v>35.0</v>
      </c>
      <c r="AH79" s="16">
        <v>50.0</v>
      </c>
      <c r="AI79" s="16">
        <v>43.625</v>
      </c>
      <c r="AJ79" s="16">
        <v>18.0</v>
      </c>
      <c r="AK79" s="16">
        <v>40.0</v>
      </c>
      <c r="AL79" s="17">
        <v>24.1032</v>
      </c>
      <c r="AM79" s="18">
        <v>16.0</v>
      </c>
      <c r="AN79" s="19">
        <v>70.0</v>
      </c>
      <c r="AO79" s="20">
        <v>35.153815883995236</v>
      </c>
    </row>
    <row r="80" ht="15.75" customHeight="1">
      <c r="A80" s="14" t="s">
        <v>98</v>
      </c>
      <c r="B80" s="15" t="s">
        <v>19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>
        <v>20.0</v>
      </c>
      <c r="P80" s="16">
        <v>35.0</v>
      </c>
      <c r="Q80" s="16">
        <v>26.0</v>
      </c>
      <c r="R80" s="16">
        <v>16.0</v>
      </c>
      <c r="S80" s="16">
        <v>24.0</v>
      </c>
      <c r="T80" s="16">
        <v>20.3329411764706</v>
      </c>
      <c r="U80" s="16">
        <v>15.0</v>
      </c>
      <c r="V80" s="16">
        <v>50.0</v>
      </c>
      <c r="W80" s="16">
        <v>30.0454545454545</v>
      </c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7"/>
      <c r="AM80" s="18">
        <v>15.0</v>
      </c>
      <c r="AN80" s="19">
        <v>50.0</v>
      </c>
      <c r="AO80" s="20">
        <v>25.459465240641702</v>
      </c>
    </row>
    <row r="81" ht="15.75" customHeight="1">
      <c r="A81" s="14" t="s">
        <v>99</v>
      </c>
      <c r="B81" s="15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6">
        <v>12.0</v>
      </c>
      <c r="M81" s="16">
        <v>18.0</v>
      </c>
      <c r="N81" s="16">
        <v>14.716</v>
      </c>
      <c r="O81" s="16">
        <v>15.0</v>
      </c>
      <c r="P81" s="16">
        <v>20.0</v>
      </c>
      <c r="Q81" s="16">
        <v>18.1052631578947</v>
      </c>
      <c r="R81" s="16">
        <v>14.0</v>
      </c>
      <c r="S81" s="16">
        <v>24.0</v>
      </c>
      <c r="T81" s="16">
        <v>17.8383333333333</v>
      </c>
      <c r="U81" s="16">
        <v>14.0</v>
      </c>
      <c r="V81" s="16">
        <v>22.0</v>
      </c>
      <c r="W81" s="16">
        <v>17.5541666666667</v>
      </c>
      <c r="X81" s="16">
        <v>16.0</v>
      </c>
      <c r="Y81" s="16">
        <v>20.0</v>
      </c>
      <c r="Z81" s="16">
        <v>18.5332</v>
      </c>
      <c r="AA81" s="16">
        <v>16.0</v>
      </c>
      <c r="AB81" s="16">
        <v>45.0</v>
      </c>
      <c r="AC81" s="16">
        <v>20.0882608695652</v>
      </c>
      <c r="AD81" s="16">
        <v>18.0</v>
      </c>
      <c r="AE81" s="16">
        <v>28.0</v>
      </c>
      <c r="AF81" s="16">
        <v>22.5928571428571</v>
      </c>
      <c r="AG81" s="16">
        <v>22.0</v>
      </c>
      <c r="AH81" s="16">
        <v>374.0</v>
      </c>
      <c r="AI81" s="16">
        <v>52.4</v>
      </c>
      <c r="AJ81" s="16">
        <v>120.0</v>
      </c>
      <c r="AK81" s="16">
        <v>140.0</v>
      </c>
      <c r="AL81" s="17">
        <v>125.78125</v>
      </c>
      <c r="AM81" s="18">
        <v>12.0</v>
      </c>
      <c r="AN81" s="19">
        <v>374.0</v>
      </c>
      <c r="AO81" s="20">
        <v>34.17881457447967</v>
      </c>
    </row>
    <row r="82" ht="15.75" customHeight="1">
      <c r="A82" s="14" t="s">
        <v>100</v>
      </c>
      <c r="B82" s="15" t="s">
        <v>19</v>
      </c>
      <c r="C82" s="16"/>
      <c r="D82" s="16"/>
      <c r="E82" s="16"/>
      <c r="F82" s="16"/>
      <c r="G82" s="16"/>
      <c r="H82" s="16"/>
      <c r="I82" s="16">
        <v>35.0</v>
      </c>
      <c r="J82" s="16">
        <v>55.0</v>
      </c>
      <c r="K82" s="16">
        <v>44.375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7"/>
      <c r="AM82" s="18">
        <v>35.0</v>
      </c>
      <c r="AN82" s="19">
        <v>55.0</v>
      </c>
      <c r="AO82" s="20">
        <v>44.375</v>
      </c>
    </row>
    <row r="83" ht="15.75" customHeight="1">
      <c r="A83" s="14" t="s">
        <v>101</v>
      </c>
      <c r="B83" s="15" t="s">
        <v>19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40.0</v>
      </c>
      <c r="V83" s="16">
        <v>55.0</v>
      </c>
      <c r="W83" s="16">
        <v>46.875</v>
      </c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7"/>
      <c r="AM83" s="18">
        <v>40.0</v>
      </c>
      <c r="AN83" s="19">
        <v>55.0</v>
      </c>
      <c r="AO83" s="20">
        <v>46.875</v>
      </c>
    </row>
    <row r="84" ht="15.75" customHeight="1">
      <c r="A84" s="14" t="s">
        <v>102</v>
      </c>
      <c r="B84" s="15" t="s">
        <v>90</v>
      </c>
      <c r="C84" s="16">
        <v>40.0</v>
      </c>
      <c r="D84" s="16">
        <v>50.0</v>
      </c>
      <c r="E84" s="16">
        <v>42.7173913043478</v>
      </c>
      <c r="F84" s="16">
        <v>40.0</v>
      </c>
      <c r="G84" s="16">
        <v>70.0</v>
      </c>
      <c r="H84" s="16">
        <v>60.9375</v>
      </c>
      <c r="I84" s="16">
        <v>50.0</v>
      </c>
      <c r="J84" s="16">
        <v>70.0</v>
      </c>
      <c r="K84" s="16">
        <v>61.7391304347826</v>
      </c>
      <c r="L84" s="16">
        <v>60.0</v>
      </c>
      <c r="M84" s="16">
        <v>70.0</v>
      </c>
      <c r="N84" s="16">
        <v>67.3076923076923</v>
      </c>
      <c r="O84" s="16">
        <v>60.0</v>
      </c>
      <c r="P84" s="16">
        <v>75.0</v>
      </c>
      <c r="Q84" s="16">
        <v>66.6304347826087</v>
      </c>
      <c r="R84" s="16">
        <v>30.0</v>
      </c>
      <c r="S84" s="16">
        <v>70.0</v>
      </c>
      <c r="T84" s="16">
        <v>53.3331578947368</v>
      </c>
      <c r="U84" s="16">
        <v>24.0</v>
      </c>
      <c r="V84" s="16">
        <v>55.0</v>
      </c>
      <c r="W84" s="16">
        <v>37.4</v>
      </c>
      <c r="X84" s="16">
        <v>30.0</v>
      </c>
      <c r="Y84" s="16">
        <v>50.0</v>
      </c>
      <c r="Z84" s="16">
        <v>40.1668</v>
      </c>
      <c r="AA84" s="16">
        <v>40.0</v>
      </c>
      <c r="AB84" s="16">
        <v>50.0</v>
      </c>
      <c r="AC84" s="16">
        <v>46.304347826087</v>
      </c>
      <c r="AD84" s="16">
        <v>30.0</v>
      </c>
      <c r="AE84" s="16">
        <v>50.0</v>
      </c>
      <c r="AF84" s="16">
        <v>39.7619047619048</v>
      </c>
      <c r="AG84" s="16">
        <v>35.0</v>
      </c>
      <c r="AH84" s="16">
        <v>45.0</v>
      </c>
      <c r="AI84" s="16">
        <v>39.5</v>
      </c>
      <c r="AJ84" s="16">
        <v>40.0</v>
      </c>
      <c r="AK84" s="16">
        <v>50.0</v>
      </c>
      <c r="AL84" s="17">
        <v>43.7</v>
      </c>
      <c r="AM84" s="18">
        <v>24.0</v>
      </c>
      <c r="AN84" s="19">
        <v>75.0</v>
      </c>
      <c r="AO84" s="20">
        <v>49.958196609346665</v>
      </c>
    </row>
    <row r="85" ht="15.75" customHeight="1">
      <c r="A85" s="14" t="s">
        <v>103</v>
      </c>
      <c r="B85" s="15" t="s">
        <v>19</v>
      </c>
      <c r="C85" s="16">
        <v>42.0</v>
      </c>
      <c r="D85" s="16">
        <v>56.0</v>
      </c>
      <c r="E85" s="16">
        <v>49.3739130434783</v>
      </c>
      <c r="F85" s="16">
        <v>44.0</v>
      </c>
      <c r="G85" s="16">
        <v>60.0</v>
      </c>
      <c r="H85" s="16">
        <v>52.636</v>
      </c>
      <c r="I85" s="16">
        <v>38.0</v>
      </c>
      <c r="J85" s="16">
        <v>62.0</v>
      </c>
      <c r="K85" s="16">
        <v>49.92</v>
      </c>
      <c r="L85" s="16">
        <v>36.0</v>
      </c>
      <c r="M85" s="16">
        <v>55.0</v>
      </c>
      <c r="N85" s="16">
        <v>45.8407407407407</v>
      </c>
      <c r="O85" s="16">
        <v>44.0</v>
      </c>
      <c r="P85" s="16">
        <v>60.0</v>
      </c>
      <c r="Q85" s="16">
        <v>49.7478260869565</v>
      </c>
      <c r="R85" s="16">
        <v>30.0</v>
      </c>
      <c r="S85" s="16">
        <v>62.0</v>
      </c>
      <c r="T85" s="16">
        <v>45.0736842105263</v>
      </c>
      <c r="U85" s="16">
        <v>24.0</v>
      </c>
      <c r="V85" s="16">
        <v>40.0</v>
      </c>
      <c r="W85" s="16">
        <v>29.848</v>
      </c>
      <c r="X85" s="16">
        <v>22.0</v>
      </c>
      <c r="Y85" s="16">
        <v>32.0</v>
      </c>
      <c r="Z85" s="16">
        <v>27.152</v>
      </c>
      <c r="AA85" s="16">
        <v>18.0</v>
      </c>
      <c r="AB85" s="16">
        <v>32.0</v>
      </c>
      <c r="AC85" s="16">
        <v>25.0458333333333</v>
      </c>
      <c r="AD85" s="16">
        <v>20.0</v>
      </c>
      <c r="AE85" s="16">
        <v>30.0</v>
      </c>
      <c r="AF85" s="16">
        <v>23.9333333333333</v>
      </c>
      <c r="AG85" s="16">
        <v>20.0</v>
      </c>
      <c r="AH85" s="16">
        <v>28.0</v>
      </c>
      <c r="AI85" s="16">
        <v>24.0065</v>
      </c>
      <c r="AJ85" s="16">
        <v>18.0</v>
      </c>
      <c r="AK85" s="16">
        <v>26.0</v>
      </c>
      <c r="AL85" s="17">
        <v>21.992</v>
      </c>
      <c r="AM85" s="18">
        <v>18.0</v>
      </c>
      <c r="AN85" s="19">
        <v>62.0</v>
      </c>
      <c r="AO85" s="20">
        <v>37.04748589569737</v>
      </c>
    </row>
    <row r="86" ht="15.75" customHeight="1">
      <c r="A86" s="14" t="s">
        <v>104</v>
      </c>
      <c r="B86" s="15" t="s">
        <v>19</v>
      </c>
      <c r="C86" s="16">
        <v>180.0</v>
      </c>
      <c r="D86" s="16">
        <v>195.0</v>
      </c>
      <c r="E86" s="16">
        <v>185.6304347826087</v>
      </c>
      <c r="F86" s="16">
        <v>180.0</v>
      </c>
      <c r="G86" s="16">
        <v>190.0</v>
      </c>
      <c r="H86" s="16">
        <v>185.05</v>
      </c>
      <c r="I86" s="16">
        <v>180.0</v>
      </c>
      <c r="J86" s="16">
        <v>200.0</v>
      </c>
      <c r="K86" s="16">
        <v>191.4583333333333</v>
      </c>
      <c r="L86" s="16">
        <v>185.0</v>
      </c>
      <c r="M86" s="16">
        <v>200.0</v>
      </c>
      <c r="N86" s="16">
        <v>192.6388888888889</v>
      </c>
      <c r="O86" s="16">
        <v>185.0</v>
      </c>
      <c r="P86" s="16">
        <v>200.0</v>
      </c>
      <c r="Q86" s="16">
        <v>193.9130434782609</v>
      </c>
      <c r="R86" s="16">
        <v>155.0</v>
      </c>
      <c r="S86" s="16">
        <v>200.0</v>
      </c>
      <c r="T86" s="16">
        <v>194.4722222222222</v>
      </c>
      <c r="U86" s="16">
        <v>100.0</v>
      </c>
      <c r="V86" s="16">
        <v>210.0</v>
      </c>
      <c r="W86" s="16">
        <v>181.39</v>
      </c>
      <c r="X86" s="16">
        <v>170.0</v>
      </c>
      <c r="Y86" s="16">
        <v>205.0</v>
      </c>
      <c r="Z86" s="16">
        <v>189.6979166666667</v>
      </c>
      <c r="AA86" s="16">
        <v>160.0</v>
      </c>
      <c r="AB86" s="16">
        <v>180.0</v>
      </c>
      <c r="AC86" s="16">
        <v>174.1395833333333</v>
      </c>
      <c r="AD86" s="16">
        <v>160.0</v>
      </c>
      <c r="AE86" s="16">
        <v>175.0</v>
      </c>
      <c r="AF86" s="16">
        <v>165.8809523809524</v>
      </c>
      <c r="AG86" s="16">
        <v>140.0</v>
      </c>
      <c r="AH86" s="16">
        <v>170.0</v>
      </c>
      <c r="AI86" s="16">
        <v>157.6844444444444</v>
      </c>
      <c r="AJ86" s="16">
        <v>140.0</v>
      </c>
      <c r="AK86" s="16">
        <v>160.0</v>
      </c>
      <c r="AL86" s="17">
        <v>148.18</v>
      </c>
      <c r="AM86" s="18">
        <v>100.0</v>
      </c>
      <c r="AN86" s="19">
        <v>210.0</v>
      </c>
      <c r="AO86" s="20">
        <v>180.0113182942259</v>
      </c>
    </row>
    <row r="87" ht="15.75" customHeight="1">
      <c r="A87" s="14" t="s">
        <v>105</v>
      </c>
      <c r="B87" s="15" t="s">
        <v>19</v>
      </c>
      <c r="C87" s="16">
        <v>18.0</v>
      </c>
      <c r="D87" s="16">
        <v>44.0</v>
      </c>
      <c r="E87" s="16">
        <v>23.9521739130435</v>
      </c>
      <c r="F87" s="16">
        <v>20.0</v>
      </c>
      <c r="G87" s="16">
        <v>38.0</v>
      </c>
      <c r="H87" s="16">
        <v>26.752</v>
      </c>
      <c r="I87" s="16">
        <v>20.0</v>
      </c>
      <c r="J87" s="16">
        <v>50.0</v>
      </c>
      <c r="K87" s="16">
        <v>29.5352</v>
      </c>
      <c r="L87" s="16">
        <v>30.0</v>
      </c>
      <c r="M87" s="16">
        <v>65.0</v>
      </c>
      <c r="N87" s="16">
        <v>40.7751851851852</v>
      </c>
      <c r="O87" s="16">
        <v>45.0</v>
      </c>
      <c r="P87" s="16">
        <v>70.0</v>
      </c>
      <c r="Q87" s="16">
        <v>60.7682608695652</v>
      </c>
      <c r="R87" s="16">
        <v>34.0</v>
      </c>
      <c r="S87" s="16">
        <v>80.0</v>
      </c>
      <c r="T87" s="16">
        <v>56.2777777777778</v>
      </c>
      <c r="U87" s="16">
        <v>24.0</v>
      </c>
      <c r="V87" s="16">
        <v>56.0</v>
      </c>
      <c r="W87" s="16">
        <v>39.984</v>
      </c>
      <c r="X87" s="16">
        <v>22.0</v>
      </c>
      <c r="Y87" s="16">
        <v>38.0</v>
      </c>
      <c r="Z87" s="16">
        <v>29.312</v>
      </c>
      <c r="AA87" s="16">
        <v>24.0</v>
      </c>
      <c r="AB87" s="16">
        <v>50.0</v>
      </c>
      <c r="AC87" s="16">
        <v>35.3595833333333</v>
      </c>
      <c r="AD87" s="16">
        <v>34.0</v>
      </c>
      <c r="AE87" s="16">
        <v>52.0</v>
      </c>
      <c r="AF87" s="16">
        <v>39.1142857142857</v>
      </c>
      <c r="AG87" s="16">
        <v>38.0</v>
      </c>
      <c r="AH87" s="16">
        <v>60.0</v>
      </c>
      <c r="AI87" s="16">
        <v>44.385</v>
      </c>
      <c r="AJ87" s="16">
        <v>30.0</v>
      </c>
      <c r="AK87" s="16">
        <v>55.0</v>
      </c>
      <c r="AL87" s="17">
        <v>40.376</v>
      </c>
      <c r="AM87" s="18">
        <v>18.0</v>
      </c>
      <c r="AN87" s="19">
        <v>80.0</v>
      </c>
      <c r="AO87" s="20">
        <v>38.88262223276589</v>
      </c>
    </row>
    <row r="88" ht="15.75" customHeight="1">
      <c r="A88" s="14" t="s">
        <v>106</v>
      </c>
      <c r="B88" s="15" t="s">
        <v>19</v>
      </c>
      <c r="C88" s="16">
        <v>40.0</v>
      </c>
      <c r="D88" s="16">
        <v>100.0</v>
      </c>
      <c r="E88" s="16">
        <v>65.2430434782609</v>
      </c>
      <c r="F88" s="16">
        <v>25.0</v>
      </c>
      <c r="G88" s="16">
        <v>75.0</v>
      </c>
      <c r="H88" s="16">
        <v>43.7608</v>
      </c>
      <c r="I88" s="16">
        <v>22.0</v>
      </c>
      <c r="J88" s="16">
        <v>126.0</v>
      </c>
      <c r="K88" s="16">
        <v>66.50875</v>
      </c>
      <c r="L88" s="16">
        <v>40.0</v>
      </c>
      <c r="M88" s="16">
        <v>85.0</v>
      </c>
      <c r="N88" s="16">
        <v>54.3174074074074</v>
      </c>
      <c r="O88" s="16">
        <v>45.0</v>
      </c>
      <c r="P88" s="16">
        <v>90.0</v>
      </c>
      <c r="Q88" s="16">
        <v>62.8130434782609</v>
      </c>
      <c r="R88" s="16">
        <v>50.0</v>
      </c>
      <c r="S88" s="16">
        <v>200.0</v>
      </c>
      <c r="T88" s="16">
        <v>88.3311764705882</v>
      </c>
      <c r="U88" s="16">
        <v>40.0</v>
      </c>
      <c r="V88" s="16">
        <v>105.0</v>
      </c>
      <c r="W88" s="16">
        <v>71.9392</v>
      </c>
      <c r="X88" s="16">
        <v>28.0</v>
      </c>
      <c r="Y88" s="16">
        <v>55.0</v>
      </c>
      <c r="Z88" s="16">
        <v>40.352</v>
      </c>
      <c r="AA88" s="16">
        <v>28.0</v>
      </c>
      <c r="AB88" s="16">
        <v>48.0</v>
      </c>
      <c r="AC88" s="16">
        <v>35.2</v>
      </c>
      <c r="AD88" s="16">
        <v>34.0</v>
      </c>
      <c r="AE88" s="16">
        <v>62.0</v>
      </c>
      <c r="AF88" s="16">
        <v>45.952380952381</v>
      </c>
      <c r="AG88" s="16">
        <v>45.0</v>
      </c>
      <c r="AH88" s="16">
        <v>75.0</v>
      </c>
      <c r="AI88" s="16">
        <v>59.164</v>
      </c>
      <c r="AJ88" s="16">
        <v>48.0</v>
      </c>
      <c r="AK88" s="16">
        <v>90.0</v>
      </c>
      <c r="AL88" s="17">
        <v>64.6679166666667</v>
      </c>
      <c r="AM88" s="18">
        <v>22.0</v>
      </c>
      <c r="AN88" s="19">
        <v>200.0</v>
      </c>
      <c r="AO88" s="20">
        <v>58.187476537797096</v>
      </c>
    </row>
    <row r="89" ht="15.75" customHeight="1">
      <c r="A89" s="14" t="s">
        <v>107</v>
      </c>
      <c r="B89" s="15" t="s">
        <v>19</v>
      </c>
      <c r="C89" s="16">
        <v>40.0</v>
      </c>
      <c r="D89" s="16">
        <v>65.0</v>
      </c>
      <c r="E89" s="16">
        <v>49.6373913043478</v>
      </c>
      <c r="F89" s="16">
        <v>40.0</v>
      </c>
      <c r="G89" s="16">
        <v>50.0</v>
      </c>
      <c r="H89" s="16">
        <v>47.5675</v>
      </c>
      <c r="I89" s="16">
        <v>45.0</v>
      </c>
      <c r="J89" s="16">
        <v>80.0</v>
      </c>
      <c r="K89" s="16">
        <v>53.732</v>
      </c>
      <c r="L89" s="16">
        <v>45.0</v>
      </c>
      <c r="M89" s="16">
        <v>70.0</v>
      </c>
      <c r="N89" s="16">
        <v>59.3814814814815</v>
      </c>
      <c r="O89" s="16">
        <v>50.0</v>
      </c>
      <c r="P89" s="16">
        <v>80.0</v>
      </c>
      <c r="Q89" s="16">
        <v>60.034347826087</v>
      </c>
      <c r="R89" s="16">
        <v>55.0</v>
      </c>
      <c r="S89" s="16">
        <v>175.0</v>
      </c>
      <c r="T89" s="16">
        <v>110.9727777777778</v>
      </c>
      <c r="U89" s="16">
        <v>90.0</v>
      </c>
      <c r="V89" s="16">
        <v>170.0</v>
      </c>
      <c r="W89" s="16">
        <v>140.9684</v>
      </c>
      <c r="X89" s="16">
        <v>70.0</v>
      </c>
      <c r="Y89" s="16">
        <v>170.0</v>
      </c>
      <c r="Z89" s="16">
        <v>120.468</v>
      </c>
      <c r="AA89" s="16">
        <v>45.0</v>
      </c>
      <c r="AB89" s="16">
        <v>80.0</v>
      </c>
      <c r="AC89" s="16">
        <v>59.3395833333333</v>
      </c>
      <c r="AD89" s="16">
        <v>50.0</v>
      </c>
      <c r="AE89" s="16">
        <v>80.0</v>
      </c>
      <c r="AF89" s="16">
        <v>60.4757142857143</v>
      </c>
      <c r="AG89" s="16">
        <v>40.0</v>
      </c>
      <c r="AH89" s="16">
        <v>60.0</v>
      </c>
      <c r="AI89" s="16">
        <v>51.832</v>
      </c>
      <c r="AJ89" s="16">
        <v>40.0</v>
      </c>
      <c r="AK89" s="16">
        <v>50.0</v>
      </c>
      <c r="AL89" s="17">
        <v>45.4656</v>
      </c>
      <c r="AM89" s="18">
        <v>40.0</v>
      </c>
      <c r="AN89" s="19">
        <v>175.0</v>
      </c>
      <c r="AO89" s="20">
        <v>71.65623300072848</v>
      </c>
    </row>
    <row r="90" ht="15.75" customHeight="1">
      <c r="A90" s="14" t="s">
        <v>108</v>
      </c>
      <c r="B90" s="15" t="s">
        <v>19</v>
      </c>
      <c r="C90" s="16">
        <v>70.0</v>
      </c>
      <c r="D90" s="16">
        <v>100.0</v>
      </c>
      <c r="E90" s="16">
        <v>80.1977272727273</v>
      </c>
      <c r="F90" s="16">
        <v>60.0</v>
      </c>
      <c r="G90" s="16">
        <v>200.0</v>
      </c>
      <c r="H90" s="16">
        <v>110.4858333333333</v>
      </c>
      <c r="I90" s="16">
        <v>60.0</v>
      </c>
      <c r="J90" s="16">
        <v>300.0</v>
      </c>
      <c r="K90" s="16">
        <v>136.6672</v>
      </c>
      <c r="L90" s="16">
        <v>120.0</v>
      </c>
      <c r="M90" s="16">
        <v>200.0</v>
      </c>
      <c r="N90" s="16">
        <v>166.3465384615385</v>
      </c>
      <c r="O90" s="16">
        <v>50.0</v>
      </c>
      <c r="P90" s="16">
        <v>200.0</v>
      </c>
      <c r="Q90" s="16">
        <v>137.8813043478261</v>
      </c>
      <c r="R90" s="16">
        <v>45.0</v>
      </c>
      <c r="S90" s="16">
        <v>175.0</v>
      </c>
      <c r="T90" s="16">
        <v>96.6447368421053</v>
      </c>
      <c r="U90" s="16">
        <v>75.0</v>
      </c>
      <c r="V90" s="16">
        <v>190.0</v>
      </c>
      <c r="W90" s="16">
        <v>136.5983333333333</v>
      </c>
      <c r="X90" s="16">
        <v>75.0</v>
      </c>
      <c r="Y90" s="16">
        <v>170.0</v>
      </c>
      <c r="Z90" s="16">
        <v>125.27875</v>
      </c>
      <c r="AA90" s="16">
        <v>55.0</v>
      </c>
      <c r="AB90" s="16">
        <v>100.0</v>
      </c>
      <c r="AC90" s="16">
        <v>88.145</v>
      </c>
      <c r="AD90" s="16">
        <v>70.0</v>
      </c>
      <c r="AE90" s="16">
        <v>125.0</v>
      </c>
      <c r="AF90" s="16">
        <v>94.762380952381</v>
      </c>
      <c r="AG90" s="16">
        <v>40.0</v>
      </c>
      <c r="AH90" s="16">
        <v>80.0</v>
      </c>
      <c r="AI90" s="16">
        <v>56.582</v>
      </c>
      <c r="AJ90" s="16">
        <v>40.0</v>
      </c>
      <c r="AK90" s="16">
        <v>70.0</v>
      </c>
      <c r="AL90" s="17">
        <v>45.1996</v>
      </c>
      <c r="AM90" s="18">
        <v>40.0</v>
      </c>
      <c r="AN90" s="19">
        <v>300.0</v>
      </c>
      <c r="AO90" s="20">
        <v>106.23245037860374</v>
      </c>
    </row>
    <row r="91" ht="15.75" customHeight="1">
      <c r="A91" s="14" t="s">
        <v>109</v>
      </c>
      <c r="B91" s="15" t="s">
        <v>19</v>
      </c>
      <c r="C91" s="16">
        <v>140.0</v>
      </c>
      <c r="D91" s="16">
        <v>160.0</v>
      </c>
      <c r="E91" s="16">
        <v>151.0782608695652</v>
      </c>
      <c r="F91" s="16">
        <v>110.0</v>
      </c>
      <c r="G91" s="16">
        <v>155.0</v>
      </c>
      <c r="H91" s="16">
        <v>135.6428</v>
      </c>
      <c r="I91" s="16">
        <v>60.0</v>
      </c>
      <c r="J91" s="16">
        <v>120.0</v>
      </c>
      <c r="K91" s="16">
        <v>81.144</v>
      </c>
      <c r="L91" s="16">
        <v>55.0</v>
      </c>
      <c r="M91" s="16">
        <v>70.0</v>
      </c>
      <c r="N91" s="16">
        <v>60.9555555555556</v>
      </c>
      <c r="O91" s="16">
        <v>64.0</v>
      </c>
      <c r="P91" s="16">
        <v>78.0</v>
      </c>
      <c r="Q91" s="16">
        <v>70.6695652173913</v>
      </c>
      <c r="R91" s="16">
        <v>68.0</v>
      </c>
      <c r="S91" s="16">
        <v>80.0</v>
      </c>
      <c r="T91" s="16">
        <v>74.6</v>
      </c>
      <c r="U91" s="16">
        <v>75.0</v>
      </c>
      <c r="V91" s="16">
        <v>80.0</v>
      </c>
      <c r="W91" s="16">
        <v>77.36</v>
      </c>
      <c r="X91" s="16">
        <v>60.0</v>
      </c>
      <c r="Y91" s="16">
        <v>80.0</v>
      </c>
      <c r="Z91" s="16">
        <v>70.572</v>
      </c>
      <c r="AA91" s="16">
        <v>62.0</v>
      </c>
      <c r="AB91" s="16">
        <v>80.0</v>
      </c>
      <c r="AC91" s="16">
        <v>68.0875</v>
      </c>
      <c r="AD91" s="16">
        <v>72.0</v>
      </c>
      <c r="AE91" s="16">
        <v>80.0</v>
      </c>
      <c r="AF91" s="16">
        <v>74.8952380952381</v>
      </c>
      <c r="AG91" s="16">
        <v>65.0</v>
      </c>
      <c r="AH91" s="16">
        <v>75.0</v>
      </c>
      <c r="AI91" s="16">
        <v>69.02</v>
      </c>
      <c r="AJ91" s="16">
        <v>65.0</v>
      </c>
      <c r="AK91" s="16">
        <v>100.0</v>
      </c>
      <c r="AL91" s="17">
        <v>82.918</v>
      </c>
      <c r="AM91" s="18">
        <v>55.0</v>
      </c>
      <c r="AN91" s="19">
        <v>160.0</v>
      </c>
      <c r="AO91" s="20">
        <v>84.7452433114792</v>
      </c>
    </row>
    <row r="92" ht="15.75" customHeight="1">
      <c r="A92" s="14" t="s">
        <v>110</v>
      </c>
      <c r="B92" s="15" t="s">
        <v>19</v>
      </c>
      <c r="C92" s="16">
        <v>70.0</v>
      </c>
      <c r="D92" s="16">
        <v>120.0</v>
      </c>
      <c r="E92" s="16">
        <v>93.1630434782609</v>
      </c>
      <c r="F92" s="16">
        <v>70.0</v>
      </c>
      <c r="G92" s="16">
        <v>90.0</v>
      </c>
      <c r="H92" s="16">
        <v>76.75</v>
      </c>
      <c r="I92" s="16">
        <v>60.0</v>
      </c>
      <c r="J92" s="16">
        <v>100.0</v>
      </c>
      <c r="K92" s="16">
        <v>87.85625</v>
      </c>
      <c r="L92" s="16">
        <v>70.0</v>
      </c>
      <c r="M92" s="16">
        <v>100.0</v>
      </c>
      <c r="N92" s="16">
        <v>91.9596296296296</v>
      </c>
      <c r="O92" s="16">
        <v>80.0</v>
      </c>
      <c r="P92" s="16">
        <v>100.0</v>
      </c>
      <c r="Q92" s="16">
        <v>92.3804347826087</v>
      </c>
      <c r="R92" s="16">
        <v>85.0</v>
      </c>
      <c r="S92" s="16">
        <v>110.0</v>
      </c>
      <c r="T92" s="16">
        <v>96.6010526315789</v>
      </c>
      <c r="U92" s="16">
        <v>80.0</v>
      </c>
      <c r="V92" s="16">
        <v>100.0</v>
      </c>
      <c r="W92" s="16">
        <v>93.35</v>
      </c>
      <c r="X92" s="16">
        <v>75.0</v>
      </c>
      <c r="Y92" s="16">
        <v>100.0</v>
      </c>
      <c r="Z92" s="16">
        <v>84.8156</v>
      </c>
      <c r="AA92" s="16">
        <v>75.0</v>
      </c>
      <c r="AB92" s="16">
        <v>90.0</v>
      </c>
      <c r="AC92" s="16">
        <v>85.9916666666667</v>
      </c>
      <c r="AD92" s="16">
        <v>65.0</v>
      </c>
      <c r="AE92" s="16">
        <v>90.0</v>
      </c>
      <c r="AF92" s="16">
        <v>76.0294117647059</v>
      </c>
      <c r="AG92" s="16">
        <v>60.0</v>
      </c>
      <c r="AH92" s="16">
        <v>70.0</v>
      </c>
      <c r="AI92" s="16">
        <v>66.5277777777778</v>
      </c>
      <c r="AJ92" s="16">
        <v>50.0</v>
      </c>
      <c r="AK92" s="16">
        <v>70.0</v>
      </c>
      <c r="AL92" s="17">
        <v>60.4708695652174</v>
      </c>
      <c r="AM92" s="18">
        <v>50.0</v>
      </c>
      <c r="AN92" s="19">
        <v>120.0</v>
      </c>
      <c r="AO92" s="20">
        <v>83.8246446913705</v>
      </c>
    </row>
    <row r="93" ht="15.75" customHeight="1">
      <c r="A93" s="14" t="s">
        <v>111</v>
      </c>
      <c r="B93" s="15" t="s">
        <v>19</v>
      </c>
      <c r="C93" s="16">
        <v>35.0</v>
      </c>
      <c r="D93" s="16">
        <v>50.0</v>
      </c>
      <c r="E93" s="16">
        <v>44.4433333333333</v>
      </c>
      <c r="F93" s="16">
        <v>40.0</v>
      </c>
      <c r="G93" s="16">
        <v>80.0</v>
      </c>
      <c r="H93" s="16">
        <v>61.35375</v>
      </c>
      <c r="I93" s="16">
        <v>40.0</v>
      </c>
      <c r="J93" s="16">
        <v>75.0</v>
      </c>
      <c r="K93" s="16">
        <v>55.76375</v>
      </c>
      <c r="L93" s="16">
        <v>55.0</v>
      </c>
      <c r="M93" s="16">
        <v>95.0</v>
      </c>
      <c r="N93" s="16">
        <v>71.35375</v>
      </c>
      <c r="O93" s="16">
        <v>65.0</v>
      </c>
      <c r="P93" s="16">
        <v>100.0</v>
      </c>
      <c r="Q93" s="16">
        <v>78.9009090909091</v>
      </c>
      <c r="R93" s="16">
        <v>60.0</v>
      </c>
      <c r="S93" s="16">
        <v>120.0</v>
      </c>
      <c r="T93" s="16">
        <v>95.7213333333333</v>
      </c>
      <c r="U93" s="16">
        <v>110.0</v>
      </c>
      <c r="V93" s="16">
        <v>140.0</v>
      </c>
      <c r="W93" s="16">
        <v>118.0</v>
      </c>
      <c r="X93" s="16">
        <v>200.0</v>
      </c>
      <c r="Y93" s="16">
        <v>225.0</v>
      </c>
      <c r="Z93" s="16">
        <v>212.5</v>
      </c>
      <c r="AA93" s="16"/>
      <c r="AB93" s="16"/>
      <c r="AC93" s="16"/>
      <c r="AD93" s="16">
        <v>90.0</v>
      </c>
      <c r="AE93" s="16">
        <v>100.0</v>
      </c>
      <c r="AF93" s="16">
        <v>95.0</v>
      </c>
      <c r="AG93" s="16"/>
      <c r="AH93" s="16"/>
      <c r="AI93" s="16"/>
      <c r="AJ93" s="16">
        <v>40.0</v>
      </c>
      <c r="AK93" s="16">
        <v>100.0</v>
      </c>
      <c r="AL93" s="17">
        <v>58.3333333333333</v>
      </c>
      <c r="AM93" s="18">
        <v>35.0</v>
      </c>
      <c r="AN93" s="19">
        <v>225.0</v>
      </c>
      <c r="AO93" s="20">
        <v>89.13701590909089</v>
      </c>
    </row>
    <row r="94" ht="15.75" customHeight="1">
      <c r="A94" s="14" t="s">
        <v>112</v>
      </c>
      <c r="B94" s="15" t="s">
        <v>19</v>
      </c>
      <c r="C94" s="16">
        <v>30.0</v>
      </c>
      <c r="D94" s="16">
        <v>80.0</v>
      </c>
      <c r="E94" s="16">
        <v>51.8522222222222</v>
      </c>
      <c r="F94" s="16">
        <v>60.0</v>
      </c>
      <c r="G94" s="16">
        <v>70.0</v>
      </c>
      <c r="H94" s="16">
        <v>65.0</v>
      </c>
      <c r="I94" s="16">
        <v>40.0</v>
      </c>
      <c r="J94" s="16">
        <v>80.0</v>
      </c>
      <c r="K94" s="16">
        <v>65.6535714285714</v>
      </c>
      <c r="L94" s="16">
        <v>60.0</v>
      </c>
      <c r="M94" s="16">
        <v>85.0</v>
      </c>
      <c r="N94" s="16">
        <v>77.188125</v>
      </c>
      <c r="O94" s="16">
        <v>60.0</v>
      </c>
      <c r="P94" s="16">
        <v>90.0</v>
      </c>
      <c r="Q94" s="16">
        <v>76.6657142857143</v>
      </c>
      <c r="R94" s="16">
        <v>75.0</v>
      </c>
      <c r="S94" s="16">
        <v>90.0</v>
      </c>
      <c r="T94" s="16">
        <v>83.0</v>
      </c>
      <c r="U94" s="16">
        <v>50.0</v>
      </c>
      <c r="V94" s="16">
        <v>90.0</v>
      </c>
      <c r="W94" s="16">
        <v>66.9057142857143</v>
      </c>
      <c r="X94" s="16"/>
      <c r="Y94" s="16"/>
      <c r="Z94" s="16"/>
      <c r="AA94" s="16"/>
      <c r="AB94" s="16"/>
      <c r="AC94" s="16"/>
      <c r="AD94" s="16">
        <v>90.0</v>
      </c>
      <c r="AE94" s="16">
        <v>100.0</v>
      </c>
      <c r="AF94" s="16">
        <v>95.0</v>
      </c>
      <c r="AG94" s="16">
        <v>35.0</v>
      </c>
      <c r="AH94" s="16">
        <v>40.0</v>
      </c>
      <c r="AI94" s="16">
        <v>37.5</v>
      </c>
      <c r="AJ94" s="16">
        <v>80.0</v>
      </c>
      <c r="AK94" s="16">
        <v>125.0</v>
      </c>
      <c r="AL94" s="17">
        <v>98.75</v>
      </c>
      <c r="AM94" s="18">
        <v>30.0</v>
      </c>
      <c r="AN94" s="19">
        <v>125.0</v>
      </c>
      <c r="AO94" s="20">
        <v>71.7515347222222</v>
      </c>
    </row>
    <row r="95" ht="15.75" customHeight="1">
      <c r="A95" s="14" t="s">
        <v>113</v>
      </c>
      <c r="B95" s="15" t="s">
        <v>19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210.0</v>
      </c>
      <c r="V95" s="16">
        <v>220.0</v>
      </c>
      <c r="W95" s="16">
        <v>215.0</v>
      </c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7"/>
      <c r="AM95" s="18">
        <v>210.0</v>
      </c>
      <c r="AN95" s="19">
        <v>220.0</v>
      </c>
      <c r="AO95" s="20">
        <v>215.0</v>
      </c>
    </row>
    <row r="96" ht="15.0" customHeight="1">
      <c r="A96" s="14" t="s">
        <v>114</v>
      </c>
      <c r="B96" s="15" t="s">
        <v>19</v>
      </c>
      <c r="C96" s="16">
        <v>140.0</v>
      </c>
      <c r="D96" s="16">
        <v>155.0</v>
      </c>
      <c r="E96" s="16">
        <v>147.1478260869565</v>
      </c>
      <c r="F96" s="16">
        <v>140.0</v>
      </c>
      <c r="G96" s="16">
        <v>155.0</v>
      </c>
      <c r="H96" s="16">
        <v>147.3</v>
      </c>
      <c r="I96" s="16">
        <v>140.0</v>
      </c>
      <c r="J96" s="16">
        <v>200.0</v>
      </c>
      <c r="K96" s="16">
        <v>149.97</v>
      </c>
      <c r="L96" s="16">
        <v>145.0</v>
      </c>
      <c r="M96" s="16">
        <v>155.0</v>
      </c>
      <c r="N96" s="16">
        <v>147.4814814814815</v>
      </c>
      <c r="O96" s="16">
        <v>145.0</v>
      </c>
      <c r="P96" s="16">
        <v>155.0</v>
      </c>
      <c r="Q96" s="16">
        <v>148.0340909090909</v>
      </c>
      <c r="R96" s="16">
        <v>140.0</v>
      </c>
      <c r="S96" s="16">
        <v>160.0</v>
      </c>
      <c r="T96" s="16">
        <v>147.96875</v>
      </c>
      <c r="U96" s="16">
        <v>145.0</v>
      </c>
      <c r="V96" s="16">
        <v>160.0</v>
      </c>
      <c r="W96" s="16">
        <v>149.26</v>
      </c>
      <c r="X96" s="16">
        <v>145.0</v>
      </c>
      <c r="Y96" s="16">
        <v>150.0</v>
      </c>
      <c r="Z96" s="16">
        <v>147.04</v>
      </c>
      <c r="AA96" s="16">
        <v>140.0</v>
      </c>
      <c r="AB96" s="16">
        <v>150.0</v>
      </c>
      <c r="AC96" s="16">
        <v>147.4791666666667</v>
      </c>
      <c r="AD96" s="16">
        <v>145.0</v>
      </c>
      <c r="AE96" s="16">
        <v>155.0</v>
      </c>
      <c r="AF96" s="16">
        <v>149.8095238095238</v>
      </c>
      <c r="AG96" s="16">
        <v>145.0</v>
      </c>
      <c r="AH96" s="16">
        <v>155.0</v>
      </c>
      <c r="AI96" s="16">
        <v>150.05</v>
      </c>
      <c r="AJ96" s="16">
        <v>145.0</v>
      </c>
      <c r="AK96" s="16">
        <v>155.0</v>
      </c>
      <c r="AL96" s="17">
        <v>150.5961538461538</v>
      </c>
      <c r="AM96" s="18">
        <v>140.0</v>
      </c>
      <c r="AN96" s="19">
        <v>200.0</v>
      </c>
      <c r="AO96" s="20">
        <v>148.5114160666561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4.0"/>
    <col customWidth="1" min="14" max="14" width="15.63"/>
    <col customWidth="1" min="15" max="25" width="8.0"/>
  </cols>
  <sheetData>
    <row r="1" ht="18.0" customHeight="1">
      <c r="A1" s="22" t="s">
        <v>115</v>
      </c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24" t="s">
        <v>116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5" t="s">
        <v>18</v>
      </c>
      <c r="B2" s="26">
        <v>260000.0</v>
      </c>
      <c r="C2" s="26">
        <v>65000.0</v>
      </c>
      <c r="D2" s="26">
        <v>212000.0</v>
      </c>
      <c r="E2" s="26">
        <v>478000.0</v>
      </c>
      <c r="F2" s="26">
        <v>414000.0</v>
      </c>
      <c r="G2" s="26">
        <v>396500.0</v>
      </c>
      <c r="H2" s="26">
        <v>232000.0</v>
      </c>
      <c r="I2" s="26">
        <v>199464.0</v>
      </c>
      <c r="J2" s="26">
        <v>438375.0</v>
      </c>
      <c r="K2" s="26">
        <v>372391.0</v>
      </c>
      <c r="L2" s="26">
        <v>207175.0</v>
      </c>
      <c r="M2" s="26">
        <v>306350.0</v>
      </c>
      <c r="N2" s="27">
        <v>3581255.0</v>
      </c>
    </row>
    <row r="3" ht="15.0" customHeight="1">
      <c r="A3" s="25" t="s">
        <v>20</v>
      </c>
      <c r="B3" s="26">
        <v>2604000.0</v>
      </c>
      <c r="C3" s="26">
        <v>2277000.0</v>
      </c>
      <c r="D3" s="26">
        <v>1411000.0</v>
      </c>
      <c r="E3" s="26">
        <v>1562000.0</v>
      </c>
      <c r="F3" s="26">
        <v>1433000.0</v>
      </c>
      <c r="G3" s="26">
        <v>669000.0</v>
      </c>
      <c r="H3" s="26">
        <v>981000.0</v>
      </c>
      <c r="I3" s="26">
        <v>1390599.0</v>
      </c>
      <c r="J3" s="26">
        <v>1081775.0</v>
      </c>
      <c r="K3" s="26">
        <v>2058275.0</v>
      </c>
      <c r="L3" s="26">
        <v>2195825.0</v>
      </c>
      <c r="M3" s="26">
        <v>2319025.0</v>
      </c>
      <c r="N3" s="27">
        <v>1.9982499E7</v>
      </c>
    </row>
    <row r="4" ht="15.0" customHeight="1">
      <c r="A4" s="25" t="s">
        <v>21</v>
      </c>
      <c r="B4" s="26">
        <v>2301000.0</v>
      </c>
      <c r="C4" s="26">
        <v>2139000.0</v>
      </c>
      <c r="D4" s="26">
        <v>2694300.0</v>
      </c>
      <c r="E4" s="26">
        <v>2202000.0</v>
      </c>
      <c r="F4" s="26">
        <v>2396000.0</v>
      </c>
      <c r="G4" s="26">
        <v>2345000.0</v>
      </c>
      <c r="H4" s="26">
        <v>2310800.0</v>
      </c>
      <c r="I4" s="26">
        <v>2748304.0</v>
      </c>
      <c r="J4" s="26">
        <v>2786882.0</v>
      </c>
      <c r="K4" s="26">
        <v>3465320.0</v>
      </c>
      <c r="L4" s="26">
        <v>2808778.0</v>
      </c>
      <c r="M4" s="26">
        <v>2709512.0</v>
      </c>
      <c r="N4" s="27">
        <v>3.0906896E7</v>
      </c>
    </row>
    <row r="5" ht="15.0" customHeight="1">
      <c r="A5" s="25" t="s">
        <v>22</v>
      </c>
      <c r="B5" s="26">
        <v>11000.0</v>
      </c>
      <c r="C5" s="26">
        <v>19000.0</v>
      </c>
      <c r="D5" s="26">
        <v>0.0</v>
      </c>
      <c r="E5" s="26">
        <v>162000.0</v>
      </c>
      <c r="F5" s="26">
        <v>870000.0</v>
      </c>
      <c r="G5" s="26">
        <v>1038000.0</v>
      </c>
      <c r="H5" s="26">
        <v>1192000.0</v>
      </c>
      <c r="I5" s="26">
        <v>456270.0</v>
      </c>
      <c r="J5" s="26">
        <v>500840.0</v>
      </c>
      <c r="K5" s="26">
        <v>598640.0</v>
      </c>
      <c r="L5" s="26">
        <v>837306.0</v>
      </c>
      <c r="M5" s="26">
        <v>203068.0</v>
      </c>
      <c r="N5" s="27">
        <v>5888124.0</v>
      </c>
    </row>
    <row r="6" ht="15.0" customHeight="1">
      <c r="A6" s="25" t="s">
        <v>23</v>
      </c>
      <c r="B6" s="26">
        <v>1608000.0</v>
      </c>
      <c r="C6" s="26">
        <v>1532000.0</v>
      </c>
      <c r="D6" s="26">
        <v>1494000.0</v>
      </c>
      <c r="E6" s="26">
        <v>1436000.0</v>
      </c>
      <c r="F6" s="26">
        <v>1371250.0</v>
      </c>
      <c r="G6" s="26">
        <v>1605000.0</v>
      </c>
      <c r="H6" s="26">
        <v>1490000.0</v>
      </c>
      <c r="I6" s="26">
        <v>1528740.0</v>
      </c>
      <c r="J6" s="26">
        <v>1773802.0</v>
      </c>
      <c r="K6" s="26">
        <v>1481116.0</v>
      </c>
      <c r="L6" s="26">
        <v>1841986.0</v>
      </c>
      <c r="M6" s="26">
        <v>1721904.0</v>
      </c>
      <c r="N6" s="27">
        <v>1.8883798E7</v>
      </c>
    </row>
    <row r="7" ht="15.0" customHeight="1">
      <c r="A7" s="25" t="s">
        <v>24</v>
      </c>
      <c r="B7" s="26">
        <v>187700.0</v>
      </c>
      <c r="C7" s="26">
        <v>228500.0</v>
      </c>
      <c r="D7" s="26">
        <v>117800.0</v>
      </c>
      <c r="E7" s="26">
        <v>87400.0</v>
      </c>
      <c r="F7" s="26">
        <v>62100.0</v>
      </c>
      <c r="G7" s="26">
        <v>28530.0</v>
      </c>
      <c r="H7" s="26">
        <v>33050.0</v>
      </c>
      <c r="I7" s="26">
        <v>105350.0</v>
      </c>
      <c r="J7" s="26">
        <v>123550.0</v>
      </c>
      <c r="K7" s="26">
        <v>267835.0</v>
      </c>
      <c r="L7" s="26">
        <v>261555.0</v>
      </c>
      <c r="M7" s="26">
        <v>306850.0</v>
      </c>
      <c r="N7" s="27">
        <v>1810220.0</v>
      </c>
    </row>
    <row r="8" ht="15.0" customHeight="1">
      <c r="A8" s="25" t="s">
        <v>25</v>
      </c>
      <c r="B8" s="26">
        <v>904250.0</v>
      </c>
      <c r="C8" s="26">
        <v>451650.0</v>
      </c>
      <c r="D8" s="26">
        <v>800550.0</v>
      </c>
      <c r="E8" s="26">
        <v>1471025.0</v>
      </c>
      <c r="F8" s="26">
        <v>1282000.0</v>
      </c>
      <c r="G8" s="26">
        <v>1162000.0</v>
      </c>
      <c r="H8" s="26">
        <v>812350.0</v>
      </c>
      <c r="I8" s="26">
        <v>865660.0</v>
      </c>
      <c r="J8" s="26">
        <v>759910.0</v>
      </c>
      <c r="K8" s="26">
        <v>734538.0</v>
      </c>
      <c r="L8" s="26">
        <v>948390.0</v>
      </c>
      <c r="M8" s="26">
        <v>1046225.0</v>
      </c>
      <c r="N8" s="27">
        <v>1.1238548E7</v>
      </c>
    </row>
    <row r="9" ht="15.0" customHeight="1">
      <c r="A9" s="25" t="s">
        <v>26</v>
      </c>
      <c r="B9" s="26">
        <v>1268825.0</v>
      </c>
      <c r="C9" s="26">
        <v>941560.0</v>
      </c>
      <c r="D9" s="26">
        <v>1260500.0</v>
      </c>
      <c r="E9" s="26">
        <v>1368000.0</v>
      </c>
      <c r="F9" s="26">
        <v>1549000.0</v>
      </c>
      <c r="G9" s="26">
        <v>1598000.0</v>
      </c>
      <c r="H9" s="26">
        <v>1979560.0</v>
      </c>
      <c r="I9" s="26">
        <v>2113255.0</v>
      </c>
      <c r="J9" s="26">
        <v>1037217.0</v>
      </c>
      <c r="K9" s="26">
        <v>1156440.0</v>
      </c>
      <c r="L9" s="26">
        <v>1848730.0</v>
      </c>
      <c r="M9" s="26">
        <v>1795080.0</v>
      </c>
      <c r="N9" s="27">
        <v>1.7916167E7</v>
      </c>
    </row>
    <row r="10" ht="15.0" customHeight="1">
      <c r="A10" s="25" t="s">
        <v>27</v>
      </c>
      <c r="B10" s="26">
        <v>128000.0</v>
      </c>
      <c r="C10" s="26">
        <v>109000.0</v>
      </c>
      <c r="D10" s="26">
        <v>65000.0</v>
      </c>
      <c r="E10" s="26">
        <v>39000.0</v>
      </c>
      <c r="F10" s="26">
        <v>6000.0</v>
      </c>
      <c r="G10" s="26">
        <v>0.0</v>
      </c>
      <c r="H10" s="26">
        <v>23000.0</v>
      </c>
      <c r="I10" s="26">
        <v>399720.0</v>
      </c>
      <c r="J10" s="26">
        <v>1057010.0</v>
      </c>
      <c r="K10" s="26">
        <v>1105070.0</v>
      </c>
      <c r="L10" s="26">
        <v>875530.0</v>
      </c>
      <c r="M10" s="26">
        <v>107890.0</v>
      </c>
      <c r="N10" s="27">
        <v>3915220.0</v>
      </c>
    </row>
    <row r="11" ht="15.0" customHeight="1">
      <c r="A11" s="25" t="s">
        <v>28</v>
      </c>
      <c r="B11" s="26">
        <v>4465.0</v>
      </c>
      <c r="C11" s="26">
        <v>180.0</v>
      </c>
      <c r="D11" s="26">
        <v>0.0</v>
      </c>
      <c r="E11" s="26">
        <v>0.0</v>
      </c>
      <c r="F11" s="26">
        <v>0.0</v>
      </c>
      <c r="G11" s="26">
        <v>0.0</v>
      </c>
      <c r="H11" s="26">
        <v>250.0</v>
      </c>
      <c r="I11" s="26">
        <v>7225.0</v>
      </c>
      <c r="J11" s="26">
        <v>6130.0</v>
      </c>
      <c r="K11" s="26">
        <v>16035.0</v>
      </c>
      <c r="L11" s="26">
        <v>9250.0</v>
      </c>
      <c r="M11" s="26">
        <v>8060.0</v>
      </c>
      <c r="N11" s="27">
        <v>51595.0</v>
      </c>
    </row>
    <row r="12" ht="15.0" customHeight="1">
      <c r="A12" s="25" t="s">
        <v>29</v>
      </c>
      <c r="B12" s="26">
        <v>358875.0</v>
      </c>
      <c r="C12" s="26">
        <v>357360.0</v>
      </c>
      <c r="D12" s="26">
        <v>356075.0</v>
      </c>
      <c r="E12" s="26">
        <v>293050.0</v>
      </c>
      <c r="F12" s="26">
        <v>399250.0</v>
      </c>
      <c r="G12" s="26">
        <v>495150.0</v>
      </c>
      <c r="H12" s="26">
        <v>601815.0</v>
      </c>
      <c r="I12" s="26">
        <v>360730.0</v>
      </c>
      <c r="J12" s="26">
        <v>234040.0</v>
      </c>
      <c r="K12" s="26">
        <v>397890.0</v>
      </c>
      <c r="L12" s="26">
        <v>524125.0</v>
      </c>
      <c r="M12" s="26">
        <v>544590.0</v>
      </c>
      <c r="N12" s="27">
        <v>4922950.0</v>
      </c>
    </row>
    <row r="13" ht="15.0" customHeight="1">
      <c r="A13" s="25" t="s">
        <v>30</v>
      </c>
      <c r="B13" s="26">
        <v>334000.0</v>
      </c>
      <c r="C13" s="26">
        <v>219500.0</v>
      </c>
      <c r="D13" s="26">
        <v>182000.0</v>
      </c>
      <c r="E13" s="26">
        <v>132000.0</v>
      </c>
      <c r="F13" s="26">
        <v>174000.0</v>
      </c>
      <c r="G13" s="26">
        <v>63000.0</v>
      </c>
      <c r="H13" s="26">
        <v>143000.0</v>
      </c>
      <c r="I13" s="26">
        <v>188090.0</v>
      </c>
      <c r="J13" s="26">
        <v>104760.0</v>
      </c>
      <c r="K13" s="26">
        <v>97300.0</v>
      </c>
      <c r="L13" s="26">
        <v>93500.0</v>
      </c>
      <c r="M13" s="26">
        <v>280540.0</v>
      </c>
      <c r="N13" s="27">
        <v>2011690.0</v>
      </c>
    </row>
    <row r="14" ht="15.0" customHeight="1">
      <c r="A14" s="25" t="s">
        <v>31</v>
      </c>
      <c r="B14" s="26">
        <v>0.0</v>
      </c>
      <c r="C14" s="26">
        <v>0.0</v>
      </c>
      <c r="D14" s="26">
        <v>0.0</v>
      </c>
      <c r="E14" s="26">
        <v>0.0</v>
      </c>
      <c r="F14" s="26">
        <v>0.0</v>
      </c>
      <c r="G14" s="26">
        <v>0.0</v>
      </c>
      <c r="H14" s="26">
        <v>0.0</v>
      </c>
      <c r="I14" s="26">
        <v>0.0</v>
      </c>
      <c r="J14" s="26">
        <v>21520.0</v>
      </c>
      <c r="K14" s="26">
        <v>21640.0</v>
      </c>
      <c r="L14" s="26">
        <v>3000.0</v>
      </c>
      <c r="M14" s="26">
        <v>0.0</v>
      </c>
      <c r="N14" s="27">
        <v>46160.0</v>
      </c>
    </row>
    <row r="15" ht="15.0" customHeight="1">
      <c r="A15" s="25" t="s">
        <v>32</v>
      </c>
      <c r="B15" s="26">
        <v>597100.0</v>
      </c>
      <c r="C15" s="26">
        <v>617155.0</v>
      </c>
      <c r="D15" s="26">
        <v>304525.0</v>
      </c>
      <c r="E15" s="26">
        <v>390790.0</v>
      </c>
      <c r="F15" s="26">
        <v>387980.0</v>
      </c>
      <c r="G15" s="26">
        <v>216170.0</v>
      </c>
      <c r="H15" s="26">
        <v>133500.0</v>
      </c>
      <c r="I15" s="26">
        <v>246340.0</v>
      </c>
      <c r="J15" s="26">
        <v>117550.0</v>
      </c>
      <c r="K15" s="26">
        <v>49250.0</v>
      </c>
      <c r="L15" s="26">
        <v>1000.0</v>
      </c>
      <c r="M15" s="26">
        <v>97150.0</v>
      </c>
      <c r="N15" s="27">
        <v>3158510.0</v>
      </c>
    </row>
    <row r="16" ht="15.0" customHeight="1">
      <c r="A16" s="25" t="s">
        <v>33</v>
      </c>
      <c r="B16" s="26">
        <v>333000.0</v>
      </c>
      <c r="C16" s="26">
        <v>55000.0</v>
      </c>
      <c r="D16" s="26">
        <v>17000.0</v>
      </c>
      <c r="E16" s="26">
        <v>3000.0</v>
      </c>
      <c r="F16" s="26">
        <v>0.0</v>
      </c>
      <c r="G16" s="26">
        <v>0.0</v>
      </c>
      <c r="H16" s="26">
        <v>93000.0</v>
      </c>
      <c r="I16" s="26">
        <v>175430.0</v>
      </c>
      <c r="J16" s="26">
        <v>394850.0</v>
      </c>
      <c r="K16" s="26">
        <v>651640.0</v>
      </c>
      <c r="L16" s="26">
        <v>473922.0</v>
      </c>
      <c r="M16" s="26">
        <v>409130.0</v>
      </c>
      <c r="N16" s="27">
        <v>2605972.0</v>
      </c>
    </row>
    <row r="17" ht="15.0" customHeight="1">
      <c r="A17" s="25" t="s">
        <v>34</v>
      </c>
      <c r="B17" s="26">
        <v>291000.0</v>
      </c>
      <c r="C17" s="26">
        <v>207000.0</v>
      </c>
      <c r="D17" s="26">
        <v>152500.0</v>
      </c>
      <c r="E17" s="26">
        <v>163000.0</v>
      </c>
      <c r="F17" s="26">
        <v>492000.0</v>
      </c>
      <c r="G17" s="26">
        <v>494000.0</v>
      </c>
      <c r="H17" s="26">
        <v>261000.0</v>
      </c>
      <c r="I17" s="26">
        <v>172225.0</v>
      </c>
      <c r="J17" s="26">
        <v>259110.0</v>
      </c>
      <c r="K17" s="26">
        <v>81390.0</v>
      </c>
      <c r="L17" s="26">
        <v>67157.0</v>
      </c>
      <c r="M17" s="26">
        <v>222540.0</v>
      </c>
      <c r="N17" s="27">
        <v>2862922.0</v>
      </c>
    </row>
    <row r="18" ht="15.0" customHeight="1">
      <c r="A18" s="25" t="s">
        <v>35</v>
      </c>
      <c r="B18" s="26">
        <v>4000.0</v>
      </c>
      <c r="C18" s="26">
        <v>0.0</v>
      </c>
      <c r="D18" s="26">
        <v>0.0</v>
      </c>
      <c r="E18" s="26">
        <v>0.0</v>
      </c>
      <c r="F18" s="26">
        <v>0.0</v>
      </c>
      <c r="G18" s="26">
        <v>0.0</v>
      </c>
      <c r="H18" s="26">
        <v>0.0</v>
      </c>
      <c r="I18" s="26">
        <v>30900.0</v>
      </c>
      <c r="J18" s="26">
        <v>159950.0</v>
      </c>
      <c r="K18" s="26">
        <v>337950.0</v>
      </c>
      <c r="L18" s="26">
        <v>230200.0</v>
      </c>
      <c r="M18" s="26">
        <v>60350.0</v>
      </c>
      <c r="N18" s="27">
        <v>823350.0</v>
      </c>
    </row>
    <row r="19" ht="15.0" customHeight="1">
      <c r="A19" s="25" t="s">
        <v>36</v>
      </c>
      <c r="B19" s="26">
        <v>0.0</v>
      </c>
      <c r="C19" s="26">
        <v>0.0</v>
      </c>
      <c r="D19" s="26">
        <v>106000.0</v>
      </c>
      <c r="E19" s="26">
        <v>92000.0</v>
      </c>
      <c r="F19" s="26">
        <v>16000.0</v>
      </c>
      <c r="G19" s="26">
        <v>10000.0</v>
      </c>
      <c r="H19" s="26">
        <v>0.0</v>
      </c>
      <c r="I19" s="26">
        <v>350.0</v>
      </c>
      <c r="J19" s="26">
        <v>0.0</v>
      </c>
      <c r="K19" s="26">
        <v>300.0</v>
      </c>
      <c r="L19" s="26">
        <v>0.0</v>
      </c>
      <c r="M19" s="26">
        <v>0.0</v>
      </c>
      <c r="N19" s="27">
        <v>224650.0</v>
      </c>
    </row>
    <row r="20" ht="15.0" customHeight="1">
      <c r="A20" s="25" t="s">
        <v>37</v>
      </c>
      <c r="B20" s="26">
        <v>445500.0</v>
      </c>
      <c r="C20" s="26">
        <v>495000.0</v>
      </c>
      <c r="D20" s="26">
        <v>356000.0</v>
      </c>
      <c r="E20" s="26">
        <v>534000.0</v>
      </c>
      <c r="F20" s="26">
        <v>444000.0</v>
      </c>
      <c r="G20" s="26">
        <v>354000.0</v>
      </c>
      <c r="H20" s="26">
        <v>144000.0</v>
      </c>
      <c r="I20" s="26">
        <v>132340.0</v>
      </c>
      <c r="J20" s="26">
        <v>135000.0</v>
      </c>
      <c r="K20" s="26">
        <v>94800.0</v>
      </c>
      <c r="L20" s="26">
        <v>76950.0</v>
      </c>
      <c r="M20" s="26">
        <v>222385.0</v>
      </c>
      <c r="N20" s="27">
        <v>3433975.0</v>
      </c>
    </row>
    <row r="21" ht="15.0" customHeight="1">
      <c r="A21" s="25" t="s">
        <v>38</v>
      </c>
      <c r="B21" s="26">
        <v>250000.0</v>
      </c>
      <c r="C21" s="26">
        <v>291000.0</v>
      </c>
      <c r="D21" s="26">
        <v>276500.0</v>
      </c>
      <c r="E21" s="26">
        <v>479200.0</v>
      </c>
      <c r="F21" s="26">
        <v>210000.0</v>
      </c>
      <c r="G21" s="26">
        <v>80000.0</v>
      </c>
      <c r="H21" s="26">
        <v>52000.0</v>
      </c>
      <c r="I21" s="26">
        <v>49650.0</v>
      </c>
      <c r="J21" s="26">
        <v>13500.0</v>
      </c>
      <c r="K21" s="26">
        <v>18250.0</v>
      </c>
      <c r="L21" s="26">
        <v>80250.0</v>
      </c>
      <c r="M21" s="26">
        <v>158000.0</v>
      </c>
      <c r="N21" s="27">
        <v>1958350.0</v>
      </c>
    </row>
    <row r="22" ht="15.0" customHeight="1">
      <c r="A22" s="25" t="s">
        <v>39</v>
      </c>
      <c r="B22" s="26">
        <v>478000.0</v>
      </c>
      <c r="C22" s="26">
        <v>525000.0</v>
      </c>
      <c r="D22" s="26">
        <v>334000.0</v>
      </c>
      <c r="E22" s="26">
        <v>262000.0</v>
      </c>
      <c r="F22" s="26">
        <v>205100.0</v>
      </c>
      <c r="G22" s="26">
        <v>181000.0</v>
      </c>
      <c r="H22" s="26">
        <v>63000.0</v>
      </c>
      <c r="I22" s="26">
        <v>76910.0</v>
      </c>
      <c r="J22" s="26">
        <v>2810.0</v>
      </c>
      <c r="K22" s="26">
        <v>0.0</v>
      </c>
      <c r="L22" s="26">
        <v>48000.0</v>
      </c>
      <c r="M22" s="26">
        <v>224100.0</v>
      </c>
      <c r="N22" s="27">
        <v>2399920.0</v>
      </c>
    </row>
    <row r="23" ht="15.0" customHeight="1">
      <c r="A23" s="25" t="s">
        <v>40</v>
      </c>
      <c r="B23" s="26">
        <v>1000.0</v>
      </c>
      <c r="C23" s="26">
        <v>18000.0</v>
      </c>
      <c r="D23" s="26">
        <v>54000.0</v>
      </c>
      <c r="E23" s="26">
        <v>79000.0</v>
      </c>
      <c r="F23" s="26">
        <v>71000.0</v>
      </c>
      <c r="G23" s="26">
        <v>34000.0</v>
      </c>
      <c r="H23" s="26">
        <v>8000.0</v>
      </c>
      <c r="I23" s="26">
        <v>0.0</v>
      </c>
      <c r="J23" s="26">
        <v>0.0</v>
      </c>
      <c r="K23" s="26">
        <v>500.0</v>
      </c>
      <c r="L23" s="26">
        <v>0.0</v>
      </c>
      <c r="M23" s="26">
        <v>0.0</v>
      </c>
      <c r="N23" s="27">
        <v>265500.0</v>
      </c>
    </row>
    <row r="24" ht="15.0" customHeight="1">
      <c r="A24" s="25" t="s">
        <v>41</v>
      </c>
      <c r="B24" s="26">
        <v>118000.0</v>
      </c>
      <c r="C24" s="26">
        <v>240000.0</v>
      </c>
      <c r="D24" s="26">
        <v>122100.0</v>
      </c>
      <c r="E24" s="26">
        <v>468300.0</v>
      </c>
      <c r="F24" s="26">
        <v>235000.0</v>
      </c>
      <c r="G24" s="26">
        <v>124000.0</v>
      </c>
      <c r="H24" s="26">
        <v>21000.0</v>
      </c>
      <c r="I24" s="26">
        <v>0.0</v>
      </c>
      <c r="J24" s="26">
        <v>0.0</v>
      </c>
      <c r="K24" s="26">
        <v>500.0</v>
      </c>
      <c r="L24" s="26">
        <v>0.0</v>
      </c>
      <c r="M24" s="26">
        <v>8000.0</v>
      </c>
      <c r="N24" s="27">
        <v>1336900.0</v>
      </c>
    </row>
    <row r="25" ht="15.0" customHeight="1">
      <c r="A25" s="25" t="s">
        <v>42</v>
      </c>
      <c r="B25" s="26">
        <v>0.0</v>
      </c>
      <c r="C25" s="26">
        <v>0.0</v>
      </c>
      <c r="D25" s="26">
        <v>0.0</v>
      </c>
      <c r="E25" s="26">
        <v>1000.0</v>
      </c>
      <c r="F25" s="26">
        <v>1000.0</v>
      </c>
      <c r="G25" s="26">
        <v>0.0</v>
      </c>
      <c r="H25" s="26">
        <v>0.0</v>
      </c>
      <c r="I25" s="26">
        <v>2000.0</v>
      </c>
      <c r="J25" s="26">
        <v>0.0</v>
      </c>
      <c r="K25" s="26">
        <v>0.0</v>
      </c>
      <c r="L25" s="26">
        <v>0.0</v>
      </c>
      <c r="M25" s="26">
        <v>0.0</v>
      </c>
      <c r="N25" s="27">
        <v>4000.0</v>
      </c>
    </row>
    <row r="26" ht="15.0" customHeight="1">
      <c r="A26" s="25" t="s">
        <v>43</v>
      </c>
      <c r="B26" s="26">
        <v>44000.0</v>
      </c>
      <c r="C26" s="26">
        <v>164000.0</v>
      </c>
      <c r="D26" s="26">
        <v>206000.0</v>
      </c>
      <c r="E26" s="26">
        <v>148000.0</v>
      </c>
      <c r="F26" s="26">
        <v>10000.0</v>
      </c>
      <c r="G26" s="26">
        <v>21000.0</v>
      </c>
      <c r="H26" s="26">
        <v>0.0</v>
      </c>
      <c r="I26" s="26">
        <v>159600.0</v>
      </c>
      <c r="J26" s="26">
        <v>30500.0</v>
      </c>
      <c r="K26" s="26">
        <v>62000.0</v>
      </c>
      <c r="L26" s="26">
        <v>169500.0</v>
      </c>
      <c r="M26" s="26">
        <v>107500.0</v>
      </c>
      <c r="N26" s="27">
        <v>1122100.0</v>
      </c>
    </row>
    <row r="27" ht="15.0" customHeight="1">
      <c r="A27" s="25" t="s">
        <v>44</v>
      </c>
      <c r="B27" s="26">
        <v>442075.0</v>
      </c>
      <c r="C27" s="26">
        <v>233735.0</v>
      </c>
      <c r="D27" s="26">
        <v>241925.0</v>
      </c>
      <c r="E27" s="26">
        <v>151000.0</v>
      </c>
      <c r="F27" s="26">
        <v>330000.0</v>
      </c>
      <c r="G27" s="26">
        <v>189000.0</v>
      </c>
      <c r="H27" s="26">
        <v>110000.0</v>
      </c>
      <c r="I27" s="26">
        <v>124180.0</v>
      </c>
      <c r="J27" s="26">
        <v>144250.0</v>
      </c>
      <c r="K27" s="26">
        <v>88835.0</v>
      </c>
      <c r="L27" s="26">
        <v>256401.0</v>
      </c>
      <c r="M27" s="26">
        <v>494250.0</v>
      </c>
      <c r="N27" s="27">
        <v>2805651.0</v>
      </c>
    </row>
    <row r="28" ht="15.0" customHeight="1">
      <c r="A28" s="25" t="s">
        <v>45</v>
      </c>
      <c r="B28" s="26">
        <v>3930.0</v>
      </c>
      <c r="C28" s="26">
        <v>1245.0</v>
      </c>
      <c r="D28" s="26">
        <v>0.0</v>
      </c>
      <c r="E28" s="26">
        <v>0.0</v>
      </c>
      <c r="F28" s="26">
        <v>0.0</v>
      </c>
      <c r="G28" s="26">
        <v>0.0</v>
      </c>
      <c r="H28" s="26">
        <v>3320.0</v>
      </c>
      <c r="I28" s="26">
        <v>3615.0</v>
      </c>
      <c r="J28" s="26">
        <v>4585.0</v>
      </c>
      <c r="K28" s="26">
        <v>5190.0</v>
      </c>
      <c r="L28" s="26">
        <v>6955.0</v>
      </c>
      <c r="M28" s="26">
        <v>11995.0</v>
      </c>
      <c r="N28" s="27">
        <v>40835.0</v>
      </c>
    </row>
    <row r="29" ht="15.0" customHeight="1">
      <c r="A29" s="25" t="s">
        <v>46</v>
      </c>
      <c r="B29" s="26">
        <v>365000.0</v>
      </c>
      <c r="C29" s="26">
        <v>286000.0</v>
      </c>
      <c r="D29" s="26">
        <v>268000.0</v>
      </c>
      <c r="E29" s="26">
        <v>243000.0</v>
      </c>
      <c r="F29" s="26">
        <v>333000.0</v>
      </c>
      <c r="G29" s="26">
        <v>243000.0</v>
      </c>
      <c r="H29" s="26">
        <v>46000.0</v>
      </c>
      <c r="I29" s="26">
        <v>23125.0</v>
      </c>
      <c r="J29" s="26">
        <v>8275.0</v>
      </c>
      <c r="K29" s="26">
        <v>3500.0</v>
      </c>
      <c r="L29" s="26">
        <v>37475.0</v>
      </c>
      <c r="M29" s="26">
        <v>119500.0</v>
      </c>
      <c r="N29" s="27">
        <v>1975875.0</v>
      </c>
    </row>
    <row r="30" ht="15.0" customHeight="1">
      <c r="A30" s="25" t="s">
        <v>47</v>
      </c>
      <c r="B30" s="26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51000.0</v>
      </c>
      <c r="I30" s="26">
        <v>2000.0</v>
      </c>
      <c r="J30" s="26">
        <v>9500.0</v>
      </c>
      <c r="K30" s="26">
        <v>0.0</v>
      </c>
      <c r="L30" s="26">
        <v>0.0</v>
      </c>
      <c r="M30" s="26">
        <v>0.0</v>
      </c>
      <c r="N30" s="27">
        <v>62500.0</v>
      </c>
    </row>
    <row r="31" ht="15.0" customHeight="1">
      <c r="A31" s="25" t="s">
        <v>48</v>
      </c>
      <c r="B31" s="26">
        <v>13000.0</v>
      </c>
      <c r="C31" s="26">
        <v>0.0</v>
      </c>
      <c r="D31" s="26">
        <v>0.0</v>
      </c>
      <c r="E31" s="26">
        <v>0.0</v>
      </c>
      <c r="F31" s="26">
        <v>0.0</v>
      </c>
      <c r="G31" s="26">
        <v>500.0</v>
      </c>
      <c r="H31" s="26">
        <v>62000.0</v>
      </c>
      <c r="I31" s="26">
        <v>36640.0</v>
      </c>
      <c r="J31" s="26">
        <v>12000.0</v>
      </c>
      <c r="K31" s="26">
        <v>5000.0</v>
      </c>
      <c r="L31" s="26">
        <v>3650.0</v>
      </c>
      <c r="M31" s="26">
        <v>4000.0</v>
      </c>
      <c r="N31" s="27">
        <v>136790.0</v>
      </c>
    </row>
    <row r="32" ht="15.0" customHeight="1">
      <c r="A32" s="25" t="s">
        <v>49</v>
      </c>
      <c r="B32" s="26">
        <v>0.0</v>
      </c>
      <c r="C32" s="26">
        <v>0.0</v>
      </c>
      <c r="D32" s="26">
        <v>9000.0</v>
      </c>
      <c r="E32" s="26">
        <v>21000.0</v>
      </c>
      <c r="F32" s="26">
        <v>32500.0</v>
      </c>
      <c r="G32" s="26">
        <v>19600.0</v>
      </c>
      <c r="H32" s="26">
        <v>115000.0</v>
      </c>
      <c r="I32" s="26">
        <v>25580.0</v>
      </c>
      <c r="J32" s="26">
        <v>39745.0</v>
      </c>
      <c r="K32" s="26">
        <v>42950.0</v>
      </c>
      <c r="L32" s="26">
        <v>34250.0</v>
      </c>
      <c r="M32" s="26">
        <v>8000.0</v>
      </c>
      <c r="N32" s="27">
        <v>347625.0</v>
      </c>
    </row>
    <row r="33" ht="15.0" customHeight="1">
      <c r="A33" s="25" t="s">
        <v>50</v>
      </c>
      <c r="B33" s="26">
        <v>7000.0</v>
      </c>
      <c r="C33" s="26">
        <v>18000.0</v>
      </c>
      <c r="D33" s="26">
        <v>102000.0</v>
      </c>
      <c r="E33" s="26">
        <v>133000.0</v>
      </c>
      <c r="F33" s="26">
        <v>274000.0</v>
      </c>
      <c r="G33" s="26">
        <v>198000.0</v>
      </c>
      <c r="H33" s="26">
        <v>38000.0</v>
      </c>
      <c r="I33" s="26">
        <v>19975.0</v>
      </c>
      <c r="J33" s="26">
        <v>0.0</v>
      </c>
      <c r="K33" s="26">
        <v>0.0</v>
      </c>
      <c r="L33" s="26">
        <v>4800.0</v>
      </c>
      <c r="M33" s="26">
        <v>1000.0</v>
      </c>
      <c r="N33" s="27">
        <v>795775.0</v>
      </c>
    </row>
    <row r="34" ht="15.0" customHeight="1">
      <c r="A34" s="25" t="s">
        <v>51</v>
      </c>
      <c r="B34" s="26">
        <v>23175.0</v>
      </c>
      <c r="C34" s="26">
        <v>33100.0</v>
      </c>
      <c r="D34" s="26">
        <v>43700.0</v>
      </c>
      <c r="E34" s="26">
        <v>34250.0</v>
      </c>
      <c r="F34" s="26">
        <v>38700.0</v>
      </c>
      <c r="G34" s="26">
        <v>33275.0</v>
      </c>
      <c r="H34" s="26">
        <v>48300.0</v>
      </c>
      <c r="I34" s="26">
        <v>66500.0</v>
      </c>
      <c r="J34" s="26">
        <v>80900.0</v>
      </c>
      <c r="K34" s="26">
        <v>76620.0</v>
      </c>
      <c r="L34" s="26">
        <v>90050.0</v>
      </c>
      <c r="M34" s="26">
        <v>73475.0</v>
      </c>
      <c r="N34" s="27">
        <v>642045.0</v>
      </c>
    </row>
    <row r="35" ht="15.0" customHeight="1">
      <c r="A35" s="25" t="s">
        <v>52</v>
      </c>
      <c r="B35" s="26">
        <v>38200.0</v>
      </c>
      <c r="C35" s="26">
        <v>30000.0</v>
      </c>
      <c r="D35" s="26">
        <v>33000.0</v>
      </c>
      <c r="E35" s="26">
        <v>24320.0</v>
      </c>
      <c r="F35" s="26">
        <v>26530.0</v>
      </c>
      <c r="G35" s="26">
        <v>27500.0</v>
      </c>
      <c r="H35" s="26">
        <v>34780.0</v>
      </c>
      <c r="I35" s="26">
        <v>53900.0</v>
      </c>
      <c r="J35" s="26">
        <v>61025.0</v>
      </c>
      <c r="K35" s="26">
        <v>62600.0</v>
      </c>
      <c r="L35" s="26">
        <v>74860.0</v>
      </c>
      <c r="M35" s="26">
        <v>56950.0</v>
      </c>
      <c r="N35" s="27">
        <v>523665.0</v>
      </c>
    </row>
    <row r="36" ht="15.0" customHeight="1">
      <c r="A36" s="25" t="s">
        <v>53</v>
      </c>
      <c r="B36" s="26">
        <v>20850.0</v>
      </c>
      <c r="C36" s="26">
        <v>15675.0</v>
      </c>
      <c r="D36" s="26">
        <v>4125.0</v>
      </c>
      <c r="E36" s="26">
        <v>1060.0</v>
      </c>
      <c r="F36" s="26">
        <v>2795.0</v>
      </c>
      <c r="G36" s="26">
        <v>4700.0</v>
      </c>
      <c r="H36" s="26">
        <v>13700.0</v>
      </c>
      <c r="I36" s="26">
        <v>26650.0</v>
      </c>
      <c r="J36" s="26">
        <v>34350.0</v>
      </c>
      <c r="K36" s="26">
        <v>34345.0</v>
      </c>
      <c r="L36" s="26">
        <v>46300.0</v>
      </c>
      <c r="M36" s="26">
        <v>33350.0</v>
      </c>
      <c r="N36" s="27">
        <v>237900.0</v>
      </c>
    </row>
    <row r="37" ht="15.0" customHeight="1">
      <c r="A37" s="25" t="s">
        <v>54</v>
      </c>
      <c r="B37" s="26">
        <v>21950.0</v>
      </c>
      <c r="C37" s="26">
        <v>24025.0</v>
      </c>
      <c r="D37" s="26">
        <v>31400.0</v>
      </c>
      <c r="E37" s="26">
        <v>23000.0</v>
      </c>
      <c r="F37" s="26">
        <v>27400.0</v>
      </c>
      <c r="G37" s="26">
        <v>23710.0</v>
      </c>
      <c r="H37" s="26">
        <v>20400.0</v>
      </c>
      <c r="I37" s="26">
        <v>25600.0</v>
      </c>
      <c r="J37" s="26">
        <v>22600.0</v>
      </c>
      <c r="K37" s="26">
        <v>13700.0</v>
      </c>
      <c r="L37" s="26">
        <v>15835.0</v>
      </c>
      <c r="M37" s="26">
        <v>18900.0</v>
      </c>
      <c r="N37" s="27">
        <v>268520.0</v>
      </c>
    </row>
    <row r="38" ht="15.0" customHeight="1">
      <c r="A38" s="25" t="s">
        <v>55</v>
      </c>
      <c r="B38" s="26">
        <v>13775.0</v>
      </c>
      <c r="C38" s="26">
        <v>14020.0</v>
      </c>
      <c r="D38" s="26">
        <v>850.0</v>
      </c>
      <c r="E38" s="26">
        <v>0.0</v>
      </c>
      <c r="F38" s="26">
        <v>0.0</v>
      </c>
      <c r="G38" s="26">
        <v>1505.0</v>
      </c>
      <c r="H38" s="26">
        <v>9275.0</v>
      </c>
      <c r="I38" s="26">
        <v>16750.0</v>
      </c>
      <c r="J38" s="26">
        <v>17100.0</v>
      </c>
      <c r="K38" s="26">
        <v>18350.0</v>
      </c>
      <c r="L38" s="26">
        <v>25550.0</v>
      </c>
      <c r="M38" s="26">
        <v>23800.0</v>
      </c>
      <c r="N38" s="27">
        <v>140975.0</v>
      </c>
    </row>
    <row r="39" ht="15.0" customHeight="1">
      <c r="A39" s="25" t="s">
        <v>56</v>
      </c>
      <c r="B39" s="26">
        <v>215050.0</v>
      </c>
      <c r="C39" s="26">
        <v>141300.0</v>
      </c>
      <c r="D39" s="26">
        <v>18000.0</v>
      </c>
      <c r="E39" s="26">
        <v>8950.0</v>
      </c>
      <c r="F39" s="26">
        <v>8820.0</v>
      </c>
      <c r="G39" s="26">
        <v>7555.0</v>
      </c>
      <c r="H39" s="26">
        <v>53195.0</v>
      </c>
      <c r="I39" s="26">
        <v>17605.0</v>
      </c>
      <c r="J39" s="26">
        <v>75885.0</v>
      </c>
      <c r="K39" s="26">
        <v>65310.0</v>
      </c>
      <c r="L39" s="26">
        <v>124800.0</v>
      </c>
      <c r="M39" s="26">
        <v>213475.0</v>
      </c>
      <c r="N39" s="27">
        <v>949945.0</v>
      </c>
    </row>
    <row r="40" ht="15.0" customHeight="1">
      <c r="A40" s="25" t="s">
        <v>57</v>
      </c>
      <c r="B40" s="26">
        <v>58000.0</v>
      </c>
      <c r="C40" s="26">
        <v>2000.0</v>
      </c>
      <c r="D40" s="26">
        <v>0.0</v>
      </c>
      <c r="E40" s="26">
        <v>0.0</v>
      </c>
      <c r="F40" s="26">
        <v>0.0</v>
      </c>
      <c r="G40" s="26">
        <v>0.0</v>
      </c>
      <c r="H40" s="26">
        <v>2000.0</v>
      </c>
      <c r="I40" s="26">
        <v>38450.0</v>
      </c>
      <c r="J40" s="26">
        <v>25500.0</v>
      </c>
      <c r="K40" s="26">
        <v>18830.0</v>
      </c>
      <c r="L40" s="26">
        <v>8500.0</v>
      </c>
      <c r="M40" s="26">
        <v>17000.0</v>
      </c>
      <c r="N40" s="27">
        <v>170280.0</v>
      </c>
    </row>
    <row r="41" ht="15.0" customHeight="1">
      <c r="A41" s="25" t="s">
        <v>58</v>
      </c>
      <c r="B41" s="26">
        <v>18000.0</v>
      </c>
      <c r="C41" s="26">
        <v>3000.0</v>
      </c>
      <c r="D41" s="26">
        <v>0.0</v>
      </c>
      <c r="E41" s="26">
        <v>0.0</v>
      </c>
      <c r="F41" s="26">
        <v>1000.0</v>
      </c>
      <c r="G41" s="26">
        <v>2000.0</v>
      </c>
      <c r="H41" s="26">
        <v>58000.0</v>
      </c>
      <c r="I41" s="26">
        <v>210400.0</v>
      </c>
      <c r="J41" s="26">
        <v>1110860.0</v>
      </c>
      <c r="K41" s="26">
        <v>120900.0</v>
      </c>
      <c r="L41" s="26">
        <v>40200.0</v>
      </c>
      <c r="M41" s="26">
        <v>12000.0</v>
      </c>
      <c r="N41" s="27">
        <v>1576360.0</v>
      </c>
    </row>
    <row r="42" ht="15.0" customHeight="1">
      <c r="A42" s="25" t="s">
        <v>59</v>
      </c>
      <c r="B42" s="26">
        <v>38150.0</v>
      </c>
      <c r="C42" s="26">
        <v>14575.0</v>
      </c>
      <c r="D42" s="26">
        <v>17155.0</v>
      </c>
      <c r="E42" s="26">
        <v>21555.0</v>
      </c>
      <c r="F42" s="26">
        <v>12920.0</v>
      </c>
      <c r="G42" s="26">
        <v>14100.0</v>
      </c>
      <c r="H42" s="26">
        <v>18180.0</v>
      </c>
      <c r="I42" s="26">
        <v>16700.0</v>
      </c>
      <c r="J42" s="26">
        <v>20870.0</v>
      </c>
      <c r="K42" s="26">
        <v>26485.0</v>
      </c>
      <c r="L42" s="26">
        <v>33330.0</v>
      </c>
      <c r="M42" s="26">
        <v>41150.0</v>
      </c>
      <c r="N42" s="27">
        <v>275170.0</v>
      </c>
    </row>
    <row r="43" ht="15.0" customHeight="1">
      <c r="A43" s="25" t="s">
        <v>60</v>
      </c>
      <c r="B43" s="26">
        <v>3400.0</v>
      </c>
      <c r="C43" s="26">
        <v>14830.0</v>
      </c>
      <c r="D43" s="26">
        <v>16320.0</v>
      </c>
      <c r="E43" s="26">
        <v>7205.0</v>
      </c>
      <c r="F43" s="26">
        <v>2135.0</v>
      </c>
      <c r="G43" s="26">
        <v>465.0</v>
      </c>
      <c r="H43" s="26">
        <v>95.0</v>
      </c>
      <c r="I43" s="26">
        <v>35.0</v>
      </c>
      <c r="J43" s="26">
        <v>0.0</v>
      </c>
      <c r="K43" s="26">
        <v>0.0</v>
      </c>
      <c r="L43" s="26">
        <v>0.0</v>
      </c>
      <c r="M43" s="26">
        <v>10565.0</v>
      </c>
      <c r="N43" s="27">
        <v>55050.0</v>
      </c>
    </row>
    <row r="44" ht="15.0" customHeight="1">
      <c r="A44" s="25" t="s">
        <v>61</v>
      </c>
      <c r="B44" s="26">
        <v>15000.0</v>
      </c>
      <c r="C44" s="26">
        <v>19000.0</v>
      </c>
      <c r="D44" s="26">
        <v>18000.0</v>
      </c>
      <c r="E44" s="26">
        <v>52000.0</v>
      </c>
      <c r="F44" s="26">
        <v>26000.0</v>
      </c>
      <c r="G44" s="26">
        <v>8000.0</v>
      </c>
      <c r="H44" s="26">
        <v>2000.0</v>
      </c>
      <c r="I44" s="26">
        <v>0.0</v>
      </c>
      <c r="J44" s="26">
        <v>0.0</v>
      </c>
      <c r="K44" s="26">
        <v>0.0</v>
      </c>
      <c r="L44" s="26">
        <v>500.0</v>
      </c>
      <c r="M44" s="26">
        <v>500.0</v>
      </c>
      <c r="N44" s="27">
        <v>141000.0</v>
      </c>
    </row>
    <row r="45" ht="15.0" customHeight="1">
      <c r="A45" s="25" t="s">
        <v>62</v>
      </c>
      <c r="B45" s="26">
        <v>23405.0</v>
      </c>
      <c r="C45" s="26">
        <v>14950.0</v>
      </c>
      <c r="D45" s="26">
        <v>2725.0</v>
      </c>
      <c r="E45" s="26">
        <v>350.0</v>
      </c>
      <c r="F45" s="26">
        <v>20.0</v>
      </c>
      <c r="G45" s="26">
        <v>100.0</v>
      </c>
      <c r="H45" s="26">
        <v>4750.0</v>
      </c>
      <c r="I45" s="26">
        <v>14120.0</v>
      </c>
      <c r="J45" s="26">
        <v>15650.0</v>
      </c>
      <c r="K45" s="26">
        <v>22784.0</v>
      </c>
      <c r="L45" s="26">
        <v>57195.0</v>
      </c>
      <c r="M45" s="26">
        <v>60625.0</v>
      </c>
      <c r="N45" s="27">
        <v>216674.0</v>
      </c>
    </row>
    <row r="46" ht="15.0" customHeight="1">
      <c r="A46" s="25" t="s">
        <v>63</v>
      </c>
      <c r="B46" s="26">
        <v>1935.0</v>
      </c>
      <c r="C46" s="26">
        <v>2780.0</v>
      </c>
      <c r="D46" s="26">
        <v>4245.0</v>
      </c>
      <c r="E46" s="26">
        <v>4450.0</v>
      </c>
      <c r="F46" s="26">
        <v>3685.0</v>
      </c>
      <c r="G46" s="26">
        <v>1990.0</v>
      </c>
      <c r="H46" s="26">
        <v>2900.0</v>
      </c>
      <c r="I46" s="26">
        <v>4125.0</v>
      </c>
      <c r="J46" s="26">
        <v>2405.0</v>
      </c>
      <c r="K46" s="26">
        <v>1655.0</v>
      </c>
      <c r="L46" s="26">
        <v>1200.0</v>
      </c>
      <c r="M46" s="26">
        <v>1735.0</v>
      </c>
      <c r="N46" s="27">
        <v>33105.0</v>
      </c>
    </row>
    <row r="47" ht="15.0" customHeight="1">
      <c r="A47" s="25" t="s">
        <v>64</v>
      </c>
      <c r="B47" s="26">
        <v>1000.0</v>
      </c>
      <c r="C47" s="26">
        <v>0.0</v>
      </c>
      <c r="D47" s="26">
        <v>0.0</v>
      </c>
      <c r="E47" s="26">
        <v>0.0</v>
      </c>
      <c r="F47" s="26">
        <v>0.0</v>
      </c>
      <c r="G47" s="26">
        <v>0.0</v>
      </c>
      <c r="H47" s="26">
        <v>0.0</v>
      </c>
      <c r="I47" s="26">
        <v>0.0</v>
      </c>
      <c r="J47" s="26">
        <v>0.0</v>
      </c>
      <c r="K47" s="26">
        <v>0.0</v>
      </c>
      <c r="L47" s="26">
        <v>0.0</v>
      </c>
      <c r="M47" s="26">
        <v>5500.0</v>
      </c>
      <c r="N47" s="27">
        <v>6500.0</v>
      </c>
    </row>
    <row r="48" ht="15.0" customHeight="1">
      <c r="A48" s="25" t="s">
        <v>65</v>
      </c>
      <c r="B48" s="26">
        <v>7590.0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v>0.0</v>
      </c>
      <c r="L48" s="26">
        <v>2000.0</v>
      </c>
      <c r="M48" s="26">
        <v>63850.0</v>
      </c>
      <c r="N48" s="27">
        <v>73440.0</v>
      </c>
    </row>
    <row r="49" ht="15.0" customHeight="1">
      <c r="A49" s="25" t="s">
        <v>66</v>
      </c>
      <c r="B49" s="26">
        <v>1240.0</v>
      </c>
      <c r="C49" s="26">
        <v>2190.0</v>
      </c>
      <c r="D49" s="26">
        <v>3500.0</v>
      </c>
      <c r="E49" s="26">
        <v>5010.0</v>
      </c>
      <c r="F49" s="26">
        <v>3725.0</v>
      </c>
      <c r="G49" s="26">
        <v>3660.0</v>
      </c>
      <c r="H49" s="26">
        <v>2475.0</v>
      </c>
      <c r="I49" s="26">
        <v>2795.0</v>
      </c>
      <c r="J49" s="26">
        <v>1710.0</v>
      </c>
      <c r="K49" s="26">
        <v>569.0</v>
      </c>
      <c r="L49" s="26">
        <v>810.0</v>
      </c>
      <c r="M49" s="26">
        <v>2245.0</v>
      </c>
      <c r="N49" s="27">
        <v>29929.0</v>
      </c>
    </row>
    <row r="50" ht="15.0" customHeight="1">
      <c r="A50" s="25" t="s">
        <v>67</v>
      </c>
      <c r="B50" s="26">
        <v>3130.0</v>
      </c>
      <c r="C50" s="26">
        <v>3245.0</v>
      </c>
      <c r="D50" s="26">
        <v>2395.0</v>
      </c>
      <c r="E50" s="26">
        <v>3895.0</v>
      </c>
      <c r="F50" s="26">
        <v>3950.0</v>
      </c>
      <c r="G50" s="26">
        <v>1990.0</v>
      </c>
      <c r="H50" s="26">
        <v>945.0</v>
      </c>
      <c r="I50" s="26">
        <v>3390.0</v>
      </c>
      <c r="J50" s="26">
        <v>5965.0</v>
      </c>
      <c r="K50" s="26">
        <v>5595.0</v>
      </c>
      <c r="L50" s="26">
        <v>7215.0</v>
      </c>
      <c r="M50" s="26">
        <v>7970.0</v>
      </c>
      <c r="N50" s="27">
        <v>49685.0</v>
      </c>
    </row>
    <row r="51" ht="15.0" customHeight="1">
      <c r="A51" s="25" t="s">
        <v>68</v>
      </c>
      <c r="B51" s="26">
        <v>1230.0</v>
      </c>
      <c r="C51" s="26">
        <v>1520.0</v>
      </c>
      <c r="D51" s="26">
        <v>40.0</v>
      </c>
      <c r="E51" s="26">
        <v>0.0</v>
      </c>
      <c r="F51" s="26">
        <v>0.0</v>
      </c>
      <c r="G51" s="26">
        <v>0.0</v>
      </c>
      <c r="H51" s="26">
        <v>0.0</v>
      </c>
      <c r="I51" s="26">
        <v>185.0</v>
      </c>
      <c r="J51" s="26">
        <v>800.0</v>
      </c>
      <c r="K51" s="26">
        <v>1100.0</v>
      </c>
      <c r="L51" s="26">
        <v>1550.0</v>
      </c>
      <c r="M51" s="26">
        <v>3680.0</v>
      </c>
      <c r="N51" s="27">
        <v>10105.0</v>
      </c>
    </row>
    <row r="52" ht="15.0" customHeight="1">
      <c r="A52" s="25" t="s">
        <v>69</v>
      </c>
      <c r="B52" s="26">
        <v>1645.0</v>
      </c>
      <c r="C52" s="26">
        <v>1345.0</v>
      </c>
      <c r="D52" s="26">
        <v>2030.0</v>
      </c>
      <c r="E52" s="26">
        <v>2085.0</v>
      </c>
      <c r="F52" s="26">
        <v>1425.0</v>
      </c>
      <c r="G52" s="26">
        <v>675.0</v>
      </c>
      <c r="H52" s="26">
        <v>845.0</v>
      </c>
      <c r="I52" s="26">
        <v>1810.0</v>
      </c>
      <c r="J52" s="26">
        <v>2105.0</v>
      </c>
      <c r="K52" s="26">
        <v>1955.0</v>
      </c>
      <c r="L52" s="26">
        <v>2010.0</v>
      </c>
      <c r="M52" s="26">
        <v>2690.0</v>
      </c>
      <c r="N52" s="27">
        <v>20620.0</v>
      </c>
    </row>
    <row r="53" ht="15.0" customHeight="1">
      <c r="A53" s="25" t="s">
        <v>70</v>
      </c>
      <c r="B53" s="26">
        <v>315.0</v>
      </c>
      <c r="C53" s="26">
        <v>195.0</v>
      </c>
      <c r="D53" s="26">
        <v>395.0</v>
      </c>
      <c r="E53" s="26">
        <v>432.0</v>
      </c>
      <c r="F53" s="26">
        <v>188.0</v>
      </c>
      <c r="G53" s="26">
        <v>95.0</v>
      </c>
      <c r="H53" s="26">
        <v>220.0</v>
      </c>
      <c r="I53" s="26">
        <v>475.0</v>
      </c>
      <c r="J53" s="26">
        <v>495.0</v>
      </c>
      <c r="K53" s="26">
        <v>445.0</v>
      </c>
      <c r="L53" s="26">
        <v>20385.0</v>
      </c>
      <c r="M53" s="26">
        <v>720.0</v>
      </c>
      <c r="N53" s="27">
        <v>24360.0</v>
      </c>
    </row>
    <row r="54" ht="15.0" customHeight="1">
      <c r="A54" s="25" t="s">
        <v>71</v>
      </c>
      <c r="B54" s="26">
        <v>14200.0</v>
      </c>
      <c r="C54" s="26">
        <v>11450.0</v>
      </c>
      <c r="D54" s="26">
        <v>800.0</v>
      </c>
      <c r="E54" s="26">
        <v>80.0</v>
      </c>
      <c r="F54" s="26">
        <v>0.0</v>
      </c>
      <c r="G54" s="26">
        <v>1025.0</v>
      </c>
      <c r="H54" s="26">
        <v>9040.0</v>
      </c>
      <c r="I54" s="26">
        <v>15570.0</v>
      </c>
      <c r="J54" s="26">
        <v>16005.0</v>
      </c>
      <c r="K54" s="26">
        <v>16900.0</v>
      </c>
      <c r="L54" s="26">
        <v>21715.0</v>
      </c>
      <c r="M54" s="26">
        <v>25020.0</v>
      </c>
      <c r="N54" s="27">
        <v>131805.0</v>
      </c>
    </row>
    <row r="55" ht="15.0" customHeight="1">
      <c r="A55" s="25" t="s">
        <v>72</v>
      </c>
      <c r="B55" s="26">
        <v>190.0</v>
      </c>
      <c r="C55" s="26">
        <v>380.0</v>
      </c>
      <c r="D55" s="26">
        <v>570.0</v>
      </c>
      <c r="E55" s="26">
        <v>450.0</v>
      </c>
      <c r="F55" s="26">
        <v>305.0</v>
      </c>
      <c r="G55" s="26">
        <v>195.0</v>
      </c>
      <c r="H55" s="26">
        <v>225.0</v>
      </c>
      <c r="I55" s="26">
        <v>375.0</v>
      </c>
      <c r="J55" s="26">
        <v>730.0</v>
      </c>
      <c r="K55" s="26">
        <v>140.0</v>
      </c>
      <c r="L55" s="26">
        <v>15675.0</v>
      </c>
      <c r="M55" s="26">
        <v>370.0</v>
      </c>
      <c r="N55" s="27">
        <v>19605.0</v>
      </c>
    </row>
    <row r="56" ht="15.0" customHeight="1">
      <c r="A56" s="25" t="s">
        <v>73</v>
      </c>
      <c r="B56" s="26">
        <v>5350.0</v>
      </c>
      <c r="C56" s="26">
        <v>6080.0</v>
      </c>
      <c r="D56" s="26">
        <v>2250.0</v>
      </c>
      <c r="E56" s="26">
        <v>75.0</v>
      </c>
      <c r="F56" s="26">
        <v>3470.0</v>
      </c>
      <c r="G56" s="26">
        <v>5325.0</v>
      </c>
      <c r="H56" s="26">
        <v>6880.0</v>
      </c>
      <c r="I56" s="26">
        <v>9310.0</v>
      </c>
      <c r="J56" s="26">
        <v>12175.0</v>
      </c>
      <c r="K56" s="26">
        <v>13450.0</v>
      </c>
      <c r="L56" s="26">
        <v>11950.0</v>
      </c>
      <c r="M56" s="26">
        <v>0.0</v>
      </c>
      <c r="N56" s="27">
        <v>76315.0</v>
      </c>
    </row>
    <row r="57" ht="15.0" customHeight="1">
      <c r="A57" s="25" t="s">
        <v>74</v>
      </c>
      <c r="B57" s="26">
        <v>10000.0</v>
      </c>
      <c r="C57" s="26">
        <v>2000.0</v>
      </c>
      <c r="D57" s="26">
        <v>1500.0</v>
      </c>
      <c r="E57" s="26">
        <v>2000.0</v>
      </c>
      <c r="F57" s="26">
        <v>0.0</v>
      </c>
      <c r="G57" s="26">
        <v>0.0</v>
      </c>
      <c r="H57" s="26">
        <v>0.0</v>
      </c>
      <c r="I57" s="26">
        <v>17500.0</v>
      </c>
      <c r="J57" s="26">
        <v>0.0</v>
      </c>
      <c r="K57" s="26">
        <v>6000.0</v>
      </c>
      <c r="L57" s="26">
        <v>9000.0</v>
      </c>
      <c r="M57" s="26">
        <v>15000.0</v>
      </c>
      <c r="N57" s="27">
        <v>63000.0</v>
      </c>
    </row>
    <row r="58" ht="15.0" customHeight="1">
      <c r="A58" s="25" t="s">
        <v>75</v>
      </c>
      <c r="B58" s="26">
        <v>0.0</v>
      </c>
      <c r="C58" s="26">
        <v>2500.0</v>
      </c>
      <c r="D58" s="26">
        <v>0.0</v>
      </c>
      <c r="E58" s="26">
        <v>17000.0</v>
      </c>
      <c r="F58" s="26">
        <v>26000.0</v>
      </c>
      <c r="G58" s="26">
        <v>1000.0</v>
      </c>
      <c r="H58" s="26">
        <v>2000.0</v>
      </c>
      <c r="I58" s="26">
        <v>3200.0</v>
      </c>
      <c r="J58" s="26">
        <v>600.0</v>
      </c>
      <c r="K58" s="26">
        <v>0.0</v>
      </c>
      <c r="L58" s="26">
        <v>0.0</v>
      </c>
      <c r="M58" s="26">
        <v>0.0</v>
      </c>
      <c r="N58" s="27">
        <v>52300.0</v>
      </c>
    </row>
    <row r="59" ht="15.0" customHeight="1">
      <c r="A59" s="25" t="s">
        <v>76</v>
      </c>
      <c r="B59" s="26">
        <v>3895.0</v>
      </c>
      <c r="C59" s="26">
        <v>4100.0</v>
      </c>
      <c r="D59" s="26">
        <v>5365.0</v>
      </c>
      <c r="E59" s="26">
        <v>6595.0</v>
      </c>
      <c r="F59" s="26">
        <v>7640.0</v>
      </c>
      <c r="G59" s="26">
        <v>5560.0</v>
      </c>
      <c r="H59" s="26">
        <v>6335.0</v>
      </c>
      <c r="I59" s="26">
        <v>6590.0</v>
      </c>
      <c r="J59" s="26">
        <v>5550.0</v>
      </c>
      <c r="K59" s="26">
        <v>6840.0</v>
      </c>
      <c r="L59" s="26">
        <v>6020.0</v>
      </c>
      <c r="M59" s="26">
        <v>9080.0</v>
      </c>
      <c r="N59" s="27">
        <v>73570.0</v>
      </c>
    </row>
    <row r="60" ht="15.0" customHeight="1">
      <c r="A60" s="25" t="s">
        <v>77</v>
      </c>
      <c r="B60" s="26">
        <v>163200.0</v>
      </c>
      <c r="C60" s="26">
        <v>80810.0</v>
      </c>
      <c r="D60" s="26">
        <v>47600.0</v>
      </c>
      <c r="E60" s="26">
        <v>64500.0</v>
      </c>
      <c r="F60" s="26">
        <v>107900.0</v>
      </c>
      <c r="G60" s="26">
        <v>78960.0</v>
      </c>
      <c r="H60" s="26">
        <v>80610.0</v>
      </c>
      <c r="I60" s="26">
        <v>38730.0</v>
      </c>
      <c r="J60" s="26">
        <v>24300.0</v>
      </c>
      <c r="K60" s="26">
        <v>133650.0</v>
      </c>
      <c r="L60" s="26">
        <v>254701.0</v>
      </c>
      <c r="M60" s="26">
        <v>283115.0</v>
      </c>
      <c r="N60" s="27">
        <v>1358076.0</v>
      </c>
    </row>
    <row r="61" ht="15.0" customHeight="1">
      <c r="A61" s="25" t="s">
        <v>78</v>
      </c>
      <c r="B61" s="26">
        <v>36150.0</v>
      </c>
      <c r="C61" s="26">
        <v>36180.0</v>
      </c>
      <c r="D61" s="26">
        <v>39000.0</v>
      </c>
      <c r="E61" s="26">
        <v>62400.0</v>
      </c>
      <c r="F61" s="26">
        <v>94400.0</v>
      </c>
      <c r="G61" s="26">
        <v>58700.0</v>
      </c>
      <c r="H61" s="26">
        <v>54190.0</v>
      </c>
      <c r="I61" s="26">
        <v>17765.0</v>
      </c>
      <c r="J61" s="26">
        <v>11070.0</v>
      </c>
      <c r="K61" s="26">
        <v>13705.0</v>
      </c>
      <c r="L61" s="26">
        <v>29032.0</v>
      </c>
      <c r="M61" s="26">
        <v>45352.0</v>
      </c>
      <c r="N61" s="27">
        <v>497944.0</v>
      </c>
    </row>
    <row r="62" ht="15.0" customHeight="1">
      <c r="A62" s="25" t="s">
        <v>80</v>
      </c>
      <c r="B62" s="26">
        <v>154000.0</v>
      </c>
      <c r="C62" s="26">
        <v>170000.0</v>
      </c>
      <c r="D62" s="26">
        <v>228000.0</v>
      </c>
      <c r="E62" s="26">
        <v>235000.0</v>
      </c>
      <c r="F62" s="26">
        <v>285000.0</v>
      </c>
      <c r="G62" s="26">
        <v>212000.0</v>
      </c>
      <c r="H62" s="26">
        <v>128000.0</v>
      </c>
      <c r="I62" s="26">
        <v>97725.0</v>
      </c>
      <c r="J62" s="26">
        <v>135985.0</v>
      </c>
      <c r="K62" s="26">
        <v>89150.0</v>
      </c>
      <c r="L62" s="26">
        <v>117190.0</v>
      </c>
      <c r="M62" s="26">
        <v>151550.0</v>
      </c>
      <c r="N62" s="27">
        <v>2003600.0</v>
      </c>
    </row>
    <row r="63" ht="15.0" customHeight="1">
      <c r="A63" s="25" t="s">
        <v>82</v>
      </c>
      <c r="B63" s="26">
        <v>15210.0</v>
      </c>
      <c r="C63" s="26">
        <v>3335.0</v>
      </c>
      <c r="D63" s="26">
        <v>7830.0</v>
      </c>
      <c r="E63" s="26">
        <v>4500.0</v>
      </c>
      <c r="F63" s="26">
        <v>7115.0</v>
      </c>
      <c r="G63" s="26">
        <v>4180.0</v>
      </c>
      <c r="H63" s="26">
        <v>17815.0</v>
      </c>
      <c r="I63" s="26">
        <v>6890.0</v>
      </c>
      <c r="J63" s="26">
        <v>16410.0</v>
      </c>
      <c r="K63" s="26">
        <v>12195.0</v>
      </c>
      <c r="L63" s="26">
        <v>10487.0</v>
      </c>
      <c r="M63" s="26">
        <v>16880.0</v>
      </c>
      <c r="N63" s="27">
        <v>122847.0</v>
      </c>
    </row>
    <row r="64" ht="15.0" customHeight="1">
      <c r="A64" s="25" t="s">
        <v>83</v>
      </c>
      <c r="B64" s="26">
        <v>14060.0</v>
      </c>
      <c r="C64" s="26">
        <v>362750.0</v>
      </c>
      <c r="D64" s="26">
        <v>1064700.0</v>
      </c>
      <c r="E64" s="26">
        <v>528040.0</v>
      </c>
      <c r="F64" s="26">
        <v>1600.0</v>
      </c>
      <c r="G64" s="26">
        <v>0.0</v>
      </c>
      <c r="H64" s="26">
        <v>0.0</v>
      </c>
      <c r="I64" s="26">
        <v>60.0</v>
      </c>
      <c r="J64" s="26">
        <v>150.0</v>
      </c>
      <c r="K64" s="26">
        <v>25.0</v>
      </c>
      <c r="L64" s="26">
        <v>0.0</v>
      </c>
      <c r="M64" s="26">
        <v>0.0</v>
      </c>
      <c r="N64" s="27">
        <v>1971385.0</v>
      </c>
    </row>
    <row r="65" ht="15.0" customHeight="1">
      <c r="A65" s="25" t="s">
        <v>84</v>
      </c>
      <c r="B65" s="26">
        <v>27860.0</v>
      </c>
      <c r="C65" s="26">
        <v>1100.0</v>
      </c>
      <c r="D65" s="26">
        <v>0.0</v>
      </c>
      <c r="E65" s="26">
        <v>8.0</v>
      </c>
      <c r="F65" s="26">
        <v>0.0</v>
      </c>
      <c r="G65" s="26">
        <v>0.0</v>
      </c>
      <c r="H65" s="26">
        <v>0.0</v>
      </c>
      <c r="I65" s="26">
        <v>72.0</v>
      </c>
      <c r="J65" s="26">
        <v>401.0</v>
      </c>
      <c r="K65" s="26">
        <v>18110.0</v>
      </c>
      <c r="L65" s="26">
        <v>49388.0</v>
      </c>
      <c r="M65" s="26">
        <v>110260.0</v>
      </c>
      <c r="N65" s="27">
        <v>207199.0</v>
      </c>
    </row>
    <row r="66" ht="15.0" customHeight="1">
      <c r="A66" s="25" t="s">
        <v>85</v>
      </c>
      <c r="B66" s="26">
        <v>50550.0</v>
      </c>
      <c r="C66" s="26">
        <v>0.0</v>
      </c>
      <c r="D66" s="26">
        <v>0.0</v>
      </c>
      <c r="E66" s="26">
        <v>0.0</v>
      </c>
      <c r="F66" s="26">
        <v>0.0</v>
      </c>
      <c r="G66" s="26">
        <v>15850.0</v>
      </c>
      <c r="H66" s="26">
        <v>1150930.0</v>
      </c>
      <c r="I66" s="26">
        <v>3559108.0</v>
      </c>
      <c r="J66" s="26">
        <v>3678160.0</v>
      </c>
      <c r="K66" s="26">
        <v>3211405.0</v>
      </c>
      <c r="L66" s="26">
        <v>1131248.0</v>
      </c>
      <c r="M66" s="26">
        <v>359750.0</v>
      </c>
      <c r="N66" s="27">
        <v>1.3157001E7</v>
      </c>
    </row>
    <row r="67" ht="15.0" customHeight="1">
      <c r="A67" s="25" t="s">
        <v>86</v>
      </c>
      <c r="B67" s="26">
        <v>2974500.0</v>
      </c>
      <c r="C67" s="26">
        <v>2095900.0</v>
      </c>
      <c r="D67" s="26">
        <v>111500.0</v>
      </c>
      <c r="E67" s="26">
        <v>8650.0</v>
      </c>
      <c r="F67" s="26">
        <v>17810.0</v>
      </c>
      <c r="G67" s="26">
        <v>11650.0</v>
      </c>
      <c r="H67" s="26">
        <v>23100.0</v>
      </c>
      <c r="I67" s="26">
        <v>16000.0</v>
      </c>
      <c r="J67" s="26">
        <v>15920.0</v>
      </c>
      <c r="K67" s="26">
        <v>12625.0</v>
      </c>
      <c r="L67" s="26">
        <v>32830.0</v>
      </c>
      <c r="M67" s="26">
        <v>275230.0</v>
      </c>
      <c r="N67" s="27">
        <v>5595715.0</v>
      </c>
    </row>
    <row r="68" ht="15.0" customHeight="1">
      <c r="A68" s="25" t="s">
        <v>87</v>
      </c>
      <c r="B68" s="26">
        <v>24780.0</v>
      </c>
      <c r="C68" s="26">
        <v>9430.0</v>
      </c>
      <c r="D68" s="26">
        <v>20000.0</v>
      </c>
      <c r="E68" s="26">
        <v>15780.0</v>
      </c>
      <c r="F68" s="26">
        <v>42230.0</v>
      </c>
      <c r="G68" s="26">
        <v>61840.0</v>
      </c>
      <c r="H68" s="26">
        <v>260200.0</v>
      </c>
      <c r="I68" s="26">
        <v>16630.0</v>
      </c>
      <c r="J68" s="26">
        <v>9380.0</v>
      </c>
      <c r="K68" s="26">
        <v>22310.0</v>
      </c>
      <c r="L68" s="26">
        <v>17761.0</v>
      </c>
      <c r="M68" s="26">
        <v>38520.0</v>
      </c>
      <c r="N68" s="27">
        <v>538861.0</v>
      </c>
    </row>
    <row r="69" ht="15.0" customHeight="1">
      <c r="A69" s="25" t="s">
        <v>88</v>
      </c>
      <c r="B69" s="26">
        <v>0.0</v>
      </c>
      <c r="C69" s="26">
        <v>0.0</v>
      </c>
      <c r="D69" s="26">
        <v>0.0</v>
      </c>
      <c r="E69" s="26">
        <v>0.0</v>
      </c>
      <c r="F69" s="26">
        <v>0.0</v>
      </c>
      <c r="G69" s="26">
        <v>3000.0</v>
      </c>
      <c r="H69" s="26">
        <v>51400.0</v>
      </c>
      <c r="I69" s="26">
        <v>600.0</v>
      </c>
      <c r="J69" s="26">
        <v>400.0</v>
      </c>
      <c r="K69" s="26">
        <v>6005.0</v>
      </c>
      <c r="L69" s="26">
        <v>8100.0</v>
      </c>
      <c r="M69" s="26">
        <v>3850.0</v>
      </c>
      <c r="N69" s="27">
        <v>73355.0</v>
      </c>
    </row>
    <row r="70" ht="15.0" customHeight="1">
      <c r="A70" s="25" t="s">
        <v>89</v>
      </c>
      <c r="B70" s="26">
        <v>6960.0</v>
      </c>
      <c r="C70" s="26">
        <v>10490.0</v>
      </c>
      <c r="D70" s="26">
        <v>8200.0</v>
      </c>
      <c r="E70" s="26">
        <v>6560.0</v>
      </c>
      <c r="F70" s="26">
        <v>34600.0</v>
      </c>
      <c r="G70" s="26">
        <v>15700.0</v>
      </c>
      <c r="H70" s="26">
        <v>9915.0</v>
      </c>
      <c r="I70" s="26">
        <v>32700.0</v>
      </c>
      <c r="J70" s="26">
        <v>11405.0</v>
      </c>
      <c r="K70" s="26">
        <v>10230.0</v>
      </c>
      <c r="L70" s="26">
        <v>13845.0</v>
      </c>
      <c r="M70" s="26">
        <v>11465.0</v>
      </c>
      <c r="N70" s="27">
        <v>172070.0</v>
      </c>
    </row>
    <row r="71" ht="15.0" customHeight="1">
      <c r="A71" s="25" t="s">
        <v>91</v>
      </c>
      <c r="B71" s="26">
        <v>605000.0</v>
      </c>
      <c r="C71" s="26">
        <v>804000.0</v>
      </c>
      <c r="D71" s="26">
        <v>696400.0</v>
      </c>
      <c r="E71" s="26">
        <v>739270.0</v>
      </c>
      <c r="F71" s="26">
        <v>903000.0</v>
      </c>
      <c r="G71" s="26">
        <v>733000.0</v>
      </c>
      <c r="H71" s="26">
        <v>269000.0</v>
      </c>
      <c r="I71" s="26">
        <v>122040.0</v>
      </c>
      <c r="J71" s="26">
        <v>48050.0</v>
      </c>
      <c r="K71" s="26">
        <v>39205.0</v>
      </c>
      <c r="L71" s="26">
        <v>107200.0</v>
      </c>
      <c r="M71" s="26">
        <v>265705.0</v>
      </c>
      <c r="N71" s="27">
        <v>5331870.0</v>
      </c>
    </row>
    <row r="72" ht="15.0" customHeight="1">
      <c r="A72" s="25" t="s">
        <v>92</v>
      </c>
      <c r="B72" s="26">
        <v>343000.0</v>
      </c>
      <c r="C72" s="26">
        <v>240000.0</v>
      </c>
      <c r="D72" s="26">
        <v>144000.0</v>
      </c>
      <c r="E72" s="26">
        <v>122000.0</v>
      </c>
      <c r="F72" s="26">
        <v>11500.0</v>
      </c>
      <c r="G72" s="26">
        <v>0.0</v>
      </c>
      <c r="H72" s="26">
        <v>0.0</v>
      </c>
      <c r="I72" s="26">
        <v>0.0</v>
      </c>
      <c r="J72" s="26">
        <v>200.0</v>
      </c>
      <c r="K72" s="26">
        <v>2000.0</v>
      </c>
      <c r="L72" s="26">
        <v>9000.0</v>
      </c>
      <c r="M72" s="26">
        <v>80260.0</v>
      </c>
      <c r="N72" s="27">
        <v>951960.0</v>
      </c>
    </row>
    <row r="73" ht="15.0" customHeight="1">
      <c r="A73" s="25" t="s">
        <v>93</v>
      </c>
      <c r="B73" s="26">
        <v>0.0</v>
      </c>
      <c r="C73" s="26">
        <v>0.0</v>
      </c>
      <c r="D73" s="26">
        <v>0.0</v>
      </c>
      <c r="E73" s="26">
        <v>0.0</v>
      </c>
      <c r="F73" s="26">
        <v>0.0</v>
      </c>
      <c r="G73" s="26">
        <v>0.0</v>
      </c>
      <c r="H73" s="26">
        <v>15000.0</v>
      </c>
      <c r="I73" s="26">
        <v>4000.0</v>
      </c>
      <c r="J73" s="26">
        <v>0.0</v>
      </c>
      <c r="K73" s="26">
        <v>0.0</v>
      </c>
      <c r="L73" s="26">
        <v>2000.0</v>
      </c>
      <c r="M73" s="26">
        <v>0.0</v>
      </c>
      <c r="N73" s="27">
        <v>21000.0</v>
      </c>
    </row>
    <row r="74" ht="15.0" customHeight="1">
      <c r="A74" s="25" t="s">
        <v>94</v>
      </c>
      <c r="B74" s="26">
        <v>0.0</v>
      </c>
      <c r="C74" s="26">
        <v>0.0</v>
      </c>
      <c r="D74" s="26">
        <v>0.0</v>
      </c>
      <c r="E74" s="26">
        <v>0.0</v>
      </c>
      <c r="F74" s="26">
        <v>0.0</v>
      </c>
      <c r="G74" s="26">
        <v>0.0</v>
      </c>
      <c r="H74" s="26">
        <v>91000.0</v>
      </c>
      <c r="I74" s="26">
        <v>0.0</v>
      </c>
      <c r="J74" s="26">
        <v>0.0</v>
      </c>
      <c r="K74" s="26">
        <v>0.0</v>
      </c>
      <c r="L74" s="26">
        <v>0.0</v>
      </c>
      <c r="M74" s="26">
        <v>0.0</v>
      </c>
      <c r="N74" s="27">
        <v>91000.0</v>
      </c>
    </row>
    <row r="75" ht="15.0" customHeight="1">
      <c r="A75" s="25" t="s">
        <v>95</v>
      </c>
      <c r="B75" s="26">
        <v>1170.0</v>
      </c>
      <c r="C75" s="26">
        <v>1050.0</v>
      </c>
      <c r="D75" s="26">
        <v>250.0</v>
      </c>
      <c r="E75" s="26">
        <v>23800.0</v>
      </c>
      <c r="F75" s="26">
        <v>59050.0</v>
      </c>
      <c r="G75" s="26">
        <v>15680.0</v>
      </c>
      <c r="H75" s="26">
        <v>4280.0</v>
      </c>
      <c r="I75" s="26">
        <v>3730.0</v>
      </c>
      <c r="J75" s="26">
        <v>3660.0</v>
      </c>
      <c r="K75" s="26">
        <v>6070.0</v>
      </c>
      <c r="L75" s="26">
        <v>11532.0</v>
      </c>
      <c r="M75" s="26">
        <v>18705.0</v>
      </c>
      <c r="N75" s="27">
        <v>148977.0</v>
      </c>
    </row>
    <row r="76" ht="15.0" customHeight="1">
      <c r="A76" s="25" t="s">
        <v>97</v>
      </c>
      <c r="B76" s="26">
        <v>113150.0</v>
      </c>
      <c r="C76" s="26">
        <v>24100.0</v>
      </c>
      <c r="D76" s="26">
        <v>19050.0</v>
      </c>
      <c r="E76" s="26">
        <v>48150.0</v>
      </c>
      <c r="F76" s="26">
        <v>69030.0</v>
      </c>
      <c r="G76" s="26">
        <v>55650.0</v>
      </c>
      <c r="H76" s="26">
        <v>33650.0</v>
      </c>
      <c r="I76" s="26">
        <v>33470.0</v>
      </c>
      <c r="J76" s="26">
        <v>11060.0</v>
      </c>
      <c r="K76" s="26">
        <v>22710.0</v>
      </c>
      <c r="L76" s="26">
        <v>38617.0</v>
      </c>
      <c r="M76" s="26">
        <v>101130.0</v>
      </c>
      <c r="N76" s="27">
        <v>569767.0</v>
      </c>
    </row>
    <row r="77" ht="15.0" customHeight="1">
      <c r="A77" s="25" t="s">
        <v>98</v>
      </c>
      <c r="B77" s="26">
        <v>0.0</v>
      </c>
      <c r="C77" s="26">
        <v>0.0</v>
      </c>
      <c r="D77" s="26">
        <v>0.0</v>
      </c>
      <c r="E77" s="26">
        <v>0.0</v>
      </c>
      <c r="F77" s="26">
        <v>30805.0</v>
      </c>
      <c r="G77" s="26">
        <v>35450.0</v>
      </c>
      <c r="H77" s="26">
        <v>7000.0</v>
      </c>
      <c r="I77" s="26">
        <v>800.0</v>
      </c>
      <c r="J77" s="26">
        <v>0.0</v>
      </c>
      <c r="K77" s="26">
        <v>0.0</v>
      </c>
      <c r="L77" s="26">
        <v>0.0</v>
      </c>
      <c r="M77" s="26">
        <v>0.0</v>
      </c>
      <c r="N77" s="27">
        <v>74055.0</v>
      </c>
    </row>
    <row r="78" ht="15.0" customHeight="1">
      <c r="A78" s="25" t="s">
        <v>99</v>
      </c>
      <c r="B78" s="26">
        <v>0.0</v>
      </c>
      <c r="C78" s="26">
        <v>0.0</v>
      </c>
      <c r="D78" s="26">
        <v>0.0</v>
      </c>
      <c r="E78" s="26">
        <v>0.0</v>
      </c>
      <c r="F78" s="26">
        <v>0.0</v>
      </c>
      <c r="G78" s="26">
        <v>3000.0</v>
      </c>
      <c r="H78" s="26">
        <v>16000.0</v>
      </c>
      <c r="I78" s="26">
        <v>8375.0</v>
      </c>
      <c r="J78" s="26">
        <v>9880.0</v>
      </c>
      <c r="K78" s="26">
        <v>1285.0</v>
      </c>
      <c r="L78" s="26">
        <v>22060.0</v>
      </c>
      <c r="M78" s="26">
        <v>2815.0</v>
      </c>
      <c r="N78" s="27">
        <v>63415.0</v>
      </c>
    </row>
    <row r="79" ht="15.0" customHeight="1">
      <c r="A79" s="25" t="s">
        <v>100</v>
      </c>
      <c r="B79" s="26">
        <v>0.0</v>
      </c>
      <c r="C79" s="26">
        <v>40970.0</v>
      </c>
      <c r="D79" s="26">
        <v>10860.0</v>
      </c>
      <c r="E79" s="26">
        <v>0.0</v>
      </c>
      <c r="F79" s="26">
        <v>0.0</v>
      </c>
      <c r="G79" s="26">
        <v>0.0</v>
      </c>
      <c r="H79" s="26">
        <v>100.0</v>
      </c>
      <c r="I79" s="26">
        <v>0.0</v>
      </c>
      <c r="J79" s="26">
        <v>0.0</v>
      </c>
      <c r="K79" s="26">
        <v>0.0</v>
      </c>
      <c r="L79" s="26">
        <v>0.0</v>
      </c>
      <c r="M79" s="26">
        <v>0.0</v>
      </c>
      <c r="N79" s="27">
        <v>51930.0</v>
      </c>
    </row>
    <row r="80" ht="15.0" customHeight="1">
      <c r="A80" s="25" t="s">
        <v>101</v>
      </c>
      <c r="B80" s="26">
        <v>0.0</v>
      </c>
      <c r="C80" s="26">
        <v>0.0</v>
      </c>
      <c r="D80" s="26">
        <v>0.0</v>
      </c>
      <c r="E80" s="26">
        <v>0.0</v>
      </c>
      <c r="F80" s="26">
        <v>0.0</v>
      </c>
      <c r="G80" s="26">
        <v>0.0</v>
      </c>
      <c r="H80" s="26">
        <v>1600.0</v>
      </c>
      <c r="I80" s="26">
        <v>0.0</v>
      </c>
      <c r="J80" s="26">
        <v>0.0</v>
      </c>
      <c r="K80" s="26">
        <v>2000.0</v>
      </c>
      <c r="L80" s="26">
        <v>0.0</v>
      </c>
      <c r="M80" s="26">
        <v>100.0</v>
      </c>
      <c r="N80" s="27">
        <v>3700.0</v>
      </c>
    </row>
    <row r="81" ht="15.0" customHeight="1">
      <c r="A81" s="25" t="s">
        <v>102</v>
      </c>
      <c r="B81" s="26">
        <v>2050.0</v>
      </c>
      <c r="C81" s="26">
        <v>1200.0</v>
      </c>
      <c r="D81" s="26">
        <v>2700.0</v>
      </c>
      <c r="E81" s="26">
        <v>1900.0</v>
      </c>
      <c r="F81" s="26">
        <v>1600.0</v>
      </c>
      <c r="G81" s="26">
        <v>2050.0</v>
      </c>
      <c r="H81" s="26">
        <v>200.0</v>
      </c>
      <c r="I81" s="26">
        <v>2900.0</v>
      </c>
      <c r="J81" s="26">
        <v>50.0</v>
      </c>
      <c r="K81" s="26">
        <v>32425.0</v>
      </c>
      <c r="L81" s="26">
        <v>14850.0</v>
      </c>
      <c r="M81" s="26">
        <v>0.0</v>
      </c>
      <c r="N81" s="27">
        <v>61925.0</v>
      </c>
    </row>
    <row r="82" ht="15.0" customHeight="1">
      <c r="A82" s="25" t="s">
        <v>96</v>
      </c>
      <c r="B82" s="26">
        <v>0.0</v>
      </c>
      <c r="C82" s="26">
        <v>0.0</v>
      </c>
      <c r="D82" s="26">
        <v>0.0</v>
      </c>
      <c r="E82" s="26">
        <v>0.0</v>
      </c>
      <c r="F82" s="26">
        <v>5000.0</v>
      </c>
      <c r="G82" s="26">
        <v>0.0</v>
      </c>
      <c r="H82" s="26">
        <v>0.0</v>
      </c>
      <c r="I82" s="26">
        <v>0.0</v>
      </c>
      <c r="J82" s="26">
        <v>0.0</v>
      </c>
      <c r="K82" s="26">
        <v>2735.0</v>
      </c>
      <c r="L82" s="26">
        <v>10251.0</v>
      </c>
      <c r="M82" s="26">
        <v>6060.0</v>
      </c>
      <c r="N82" s="27">
        <v>24046.0</v>
      </c>
    </row>
    <row r="83" ht="15.0" customHeight="1">
      <c r="A83" s="25" t="s">
        <v>117</v>
      </c>
      <c r="B83" s="26">
        <v>0.0</v>
      </c>
      <c r="C83" s="26">
        <v>0.0</v>
      </c>
      <c r="D83" s="26">
        <v>0.0</v>
      </c>
      <c r="E83" s="26">
        <v>0.0</v>
      </c>
      <c r="F83" s="26">
        <v>0.0</v>
      </c>
      <c r="G83" s="26">
        <v>0.0</v>
      </c>
      <c r="H83" s="26">
        <v>0.0</v>
      </c>
      <c r="I83" s="26">
        <v>0.0</v>
      </c>
      <c r="J83" s="26">
        <v>0.0</v>
      </c>
      <c r="K83" s="26">
        <v>106.0</v>
      </c>
      <c r="L83" s="26">
        <v>0.0</v>
      </c>
      <c r="M83" s="26">
        <v>0.0</v>
      </c>
      <c r="N83" s="27">
        <v>106.0</v>
      </c>
    </row>
    <row r="84" ht="15.0" customHeight="1">
      <c r="A84" s="25" t="s">
        <v>103</v>
      </c>
      <c r="B84" s="26">
        <v>112500.0</v>
      </c>
      <c r="C84" s="26">
        <v>108000.0</v>
      </c>
      <c r="D84" s="26">
        <v>168500.0</v>
      </c>
      <c r="E84" s="26">
        <v>131500.0</v>
      </c>
      <c r="F84" s="26">
        <v>249660.0</v>
      </c>
      <c r="G84" s="26">
        <v>272500.0</v>
      </c>
      <c r="H84" s="26">
        <v>240000.0</v>
      </c>
      <c r="I84" s="26">
        <v>243160.0</v>
      </c>
      <c r="J84" s="26">
        <v>157090.0</v>
      </c>
      <c r="K84" s="26">
        <v>178280.0</v>
      </c>
      <c r="L84" s="26">
        <v>294313.0</v>
      </c>
      <c r="M84" s="26">
        <v>344900.0</v>
      </c>
      <c r="N84" s="27">
        <v>2500403.0</v>
      </c>
    </row>
    <row r="85" ht="15.0" customHeight="1">
      <c r="A85" s="25" t="s">
        <v>104</v>
      </c>
      <c r="B85" s="26">
        <v>15000.0</v>
      </c>
      <c r="C85" s="26">
        <v>4000.0</v>
      </c>
      <c r="D85" s="26">
        <v>8000.0</v>
      </c>
      <c r="E85" s="26">
        <v>0.0</v>
      </c>
      <c r="F85" s="26">
        <v>0.0</v>
      </c>
      <c r="G85" s="26">
        <v>6000.0</v>
      </c>
      <c r="H85" s="26">
        <v>6000.0</v>
      </c>
      <c r="I85" s="26">
        <v>0.0</v>
      </c>
      <c r="J85" s="26">
        <v>2000.0</v>
      </c>
      <c r="K85" s="26">
        <v>4000.0</v>
      </c>
      <c r="L85" s="26">
        <v>7200.0</v>
      </c>
      <c r="M85" s="26">
        <v>0.0</v>
      </c>
      <c r="N85" s="27">
        <v>52200.0</v>
      </c>
    </row>
    <row r="86" ht="15.0" customHeight="1">
      <c r="A86" s="25" t="s">
        <v>105</v>
      </c>
      <c r="B86" s="26">
        <v>657000.0</v>
      </c>
      <c r="C86" s="26">
        <v>572000.0</v>
      </c>
      <c r="D86" s="26">
        <v>244040.0</v>
      </c>
      <c r="E86" s="26">
        <v>163945.0</v>
      </c>
      <c r="F86" s="26">
        <v>60900.0</v>
      </c>
      <c r="G86" s="26">
        <v>93140.0</v>
      </c>
      <c r="H86" s="26">
        <v>147000.0</v>
      </c>
      <c r="I86" s="26">
        <v>359430.0</v>
      </c>
      <c r="J86" s="26">
        <v>306720.0</v>
      </c>
      <c r="K86" s="26">
        <v>308132.0</v>
      </c>
      <c r="L86" s="26">
        <v>341647.0</v>
      </c>
      <c r="M86" s="26">
        <v>416270.0</v>
      </c>
      <c r="N86" s="27">
        <v>3670224.0</v>
      </c>
    </row>
    <row r="87" ht="15.0" customHeight="1">
      <c r="A87" s="25" t="s">
        <v>106</v>
      </c>
      <c r="B87" s="26">
        <v>55000.0</v>
      </c>
      <c r="C87" s="26">
        <v>37000.0</v>
      </c>
      <c r="D87" s="26">
        <v>36000.0</v>
      </c>
      <c r="E87" s="26">
        <v>19000.0</v>
      </c>
      <c r="F87" s="26">
        <v>2000.0</v>
      </c>
      <c r="G87" s="26">
        <v>23000.0</v>
      </c>
      <c r="H87" s="26">
        <v>53000.0</v>
      </c>
      <c r="I87" s="26">
        <v>95725.0</v>
      </c>
      <c r="J87" s="26">
        <v>55500.0</v>
      </c>
      <c r="K87" s="26">
        <v>74618.0</v>
      </c>
      <c r="L87" s="26">
        <v>66601.0</v>
      </c>
      <c r="M87" s="26">
        <v>59250.0</v>
      </c>
      <c r="N87" s="27">
        <v>576694.0</v>
      </c>
    </row>
    <row r="88" ht="15.0" customHeight="1">
      <c r="A88" s="25" t="s">
        <v>107</v>
      </c>
      <c r="B88" s="26">
        <v>15300.0</v>
      </c>
      <c r="C88" s="26">
        <v>13175.0</v>
      </c>
      <c r="D88" s="26">
        <v>14950.0</v>
      </c>
      <c r="E88" s="26">
        <v>13580.0</v>
      </c>
      <c r="F88" s="26">
        <v>9850.0</v>
      </c>
      <c r="G88" s="26">
        <v>2870.0</v>
      </c>
      <c r="H88" s="26">
        <v>11220.0</v>
      </c>
      <c r="I88" s="26">
        <v>20575.0</v>
      </c>
      <c r="J88" s="26">
        <v>34745.0</v>
      </c>
      <c r="K88" s="26">
        <v>43531.0</v>
      </c>
      <c r="L88" s="26">
        <v>56215.0</v>
      </c>
      <c r="M88" s="26">
        <v>39551.0</v>
      </c>
      <c r="N88" s="27">
        <v>275562.0</v>
      </c>
    </row>
    <row r="89" ht="15.0" customHeight="1">
      <c r="A89" s="25" t="s">
        <v>108</v>
      </c>
      <c r="B89" s="26">
        <v>21100.0</v>
      </c>
      <c r="C89" s="26">
        <v>18625.0</v>
      </c>
      <c r="D89" s="26">
        <v>32700.0</v>
      </c>
      <c r="E89" s="26">
        <v>12900.0</v>
      </c>
      <c r="F89" s="26">
        <v>20080.0</v>
      </c>
      <c r="G89" s="26">
        <v>4760.0</v>
      </c>
      <c r="H89" s="26">
        <v>11900.0</v>
      </c>
      <c r="I89" s="26">
        <v>23050.0</v>
      </c>
      <c r="J89" s="26">
        <v>33395.0</v>
      </c>
      <c r="K89" s="26">
        <v>38155.0</v>
      </c>
      <c r="L89" s="26">
        <v>41965.0</v>
      </c>
      <c r="M89" s="26">
        <v>40200.0</v>
      </c>
      <c r="N89" s="27">
        <v>298830.0</v>
      </c>
    </row>
    <row r="90" ht="15.0" customHeight="1">
      <c r="A90" s="25" t="s">
        <v>109</v>
      </c>
      <c r="B90" s="26">
        <v>214000.0</v>
      </c>
      <c r="C90" s="26">
        <v>115500.0</v>
      </c>
      <c r="D90" s="26">
        <v>329000.0</v>
      </c>
      <c r="E90" s="26">
        <v>276500.0</v>
      </c>
      <c r="F90" s="26">
        <v>192000.0</v>
      </c>
      <c r="G90" s="26">
        <v>185500.0</v>
      </c>
      <c r="H90" s="26">
        <v>78000.0</v>
      </c>
      <c r="I90" s="26">
        <v>74000.0</v>
      </c>
      <c r="J90" s="26">
        <v>38200.0</v>
      </c>
      <c r="K90" s="26">
        <v>52700.0</v>
      </c>
      <c r="L90" s="26">
        <v>102666.0</v>
      </c>
      <c r="M90" s="26">
        <v>75000.0</v>
      </c>
      <c r="N90" s="27">
        <v>1733066.0</v>
      </c>
    </row>
    <row r="91" ht="15.0" customHeight="1">
      <c r="A91" s="25" t="s">
        <v>110</v>
      </c>
      <c r="B91" s="26">
        <v>29500.0</v>
      </c>
      <c r="C91" s="26">
        <v>36500.0</v>
      </c>
      <c r="D91" s="26">
        <v>36000.0</v>
      </c>
      <c r="E91" s="26">
        <v>47500.0</v>
      </c>
      <c r="F91" s="26">
        <v>88000.0</v>
      </c>
      <c r="G91" s="26">
        <v>40000.0</v>
      </c>
      <c r="H91" s="26">
        <v>18000.0</v>
      </c>
      <c r="I91" s="26">
        <v>6050.0</v>
      </c>
      <c r="J91" s="26">
        <v>2750.0</v>
      </c>
      <c r="K91" s="26">
        <v>8700.0</v>
      </c>
      <c r="L91" s="26">
        <v>55566.0</v>
      </c>
      <c r="M91" s="26">
        <v>65000.0</v>
      </c>
      <c r="N91" s="27">
        <v>433566.0</v>
      </c>
    </row>
    <row r="92" ht="15.0" customHeight="1">
      <c r="A92" s="25" t="s">
        <v>111</v>
      </c>
      <c r="B92" s="26">
        <v>0.0</v>
      </c>
      <c r="C92" s="26">
        <v>0.0</v>
      </c>
      <c r="D92" s="26">
        <v>0.0</v>
      </c>
      <c r="E92" s="26">
        <v>0.0</v>
      </c>
      <c r="F92" s="26">
        <v>0.0</v>
      </c>
      <c r="G92" s="26">
        <v>0.0</v>
      </c>
      <c r="H92" s="26">
        <v>0.0</v>
      </c>
      <c r="I92" s="26">
        <v>0.0</v>
      </c>
      <c r="J92" s="26">
        <v>0.0</v>
      </c>
      <c r="K92" s="26">
        <v>1000.0</v>
      </c>
      <c r="L92" s="26">
        <v>0.0</v>
      </c>
      <c r="M92" s="26">
        <v>0.0</v>
      </c>
      <c r="N92" s="27">
        <v>1000.0</v>
      </c>
    </row>
    <row r="93" ht="15.0" customHeight="1">
      <c r="A93" s="25" t="s">
        <v>112</v>
      </c>
      <c r="B93" s="26">
        <v>265.0</v>
      </c>
      <c r="C93" s="26">
        <v>25.0</v>
      </c>
      <c r="D93" s="26">
        <v>340.0</v>
      </c>
      <c r="E93" s="26">
        <v>4095.0</v>
      </c>
      <c r="F93" s="26">
        <v>460.0</v>
      </c>
      <c r="G93" s="26">
        <v>290.0</v>
      </c>
      <c r="H93" s="26">
        <v>865.0</v>
      </c>
      <c r="I93" s="26">
        <v>3500.0</v>
      </c>
      <c r="J93" s="26">
        <v>0.0</v>
      </c>
      <c r="K93" s="26">
        <v>0.0</v>
      </c>
      <c r="L93" s="26">
        <v>250.0</v>
      </c>
      <c r="M93" s="26">
        <v>1200.0</v>
      </c>
      <c r="N93" s="27">
        <v>11290.0</v>
      </c>
    </row>
    <row r="94" ht="15.0" customHeight="1">
      <c r="A94" s="25" t="s">
        <v>114</v>
      </c>
      <c r="B94" s="26">
        <v>300800.0</v>
      </c>
      <c r="C94" s="26">
        <v>200800.0</v>
      </c>
      <c r="D94" s="26">
        <v>197550.0</v>
      </c>
      <c r="E94" s="26">
        <v>137100.0</v>
      </c>
      <c r="F94" s="26">
        <v>138400.0</v>
      </c>
      <c r="G94" s="26">
        <v>175850.0</v>
      </c>
      <c r="H94" s="26">
        <v>150000.0</v>
      </c>
      <c r="I94" s="26">
        <v>239624.0</v>
      </c>
      <c r="J94" s="26">
        <v>271550.0</v>
      </c>
      <c r="K94" s="26">
        <v>244200.0</v>
      </c>
      <c r="L94" s="26">
        <v>265400.0</v>
      </c>
      <c r="M94" s="26">
        <v>262200.0</v>
      </c>
      <c r="N94" s="27">
        <v>2583474.0</v>
      </c>
    </row>
    <row r="95" ht="15.0" customHeight="1">
      <c r="A95" s="25" t="s">
        <v>118</v>
      </c>
      <c r="B95" s="26">
        <v>102100.0</v>
      </c>
      <c r="C95" s="26">
        <v>80000.0</v>
      </c>
      <c r="D95" s="26">
        <v>126450.0</v>
      </c>
      <c r="E95" s="26">
        <v>146400.0</v>
      </c>
      <c r="F95" s="26">
        <v>184200.0</v>
      </c>
      <c r="G95" s="26">
        <v>190400.0</v>
      </c>
      <c r="H95" s="26">
        <v>288000.0</v>
      </c>
      <c r="I95" s="26">
        <v>0.0</v>
      </c>
      <c r="J95" s="26">
        <v>7350.0</v>
      </c>
      <c r="K95" s="26">
        <v>9525.0</v>
      </c>
      <c r="L95" s="26">
        <v>96561.0</v>
      </c>
      <c r="M95" s="26">
        <v>97805.0</v>
      </c>
      <c r="N95" s="27">
        <v>1328791.0</v>
      </c>
    </row>
    <row r="96" ht="15.0" customHeight="1">
      <c r="A96" s="28" t="s">
        <v>116</v>
      </c>
      <c r="B96" s="29">
        <f t="shared" ref="B96:N96" si="1">SUM(B2:B95)</f>
        <v>19957600</v>
      </c>
      <c r="C96" s="29">
        <f t="shared" si="1"/>
        <v>16922085</v>
      </c>
      <c r="D96" s="29">
        <f t="shared" si="1"/>
        <v>14944760</v>
      </c>
      <c r="E96" s="29">
        <f t="shared" si="1"/>
        <v>15426605</v>
      </c>
      <c r="F96" s="29">
        <f t="shared" si="1"/>
        <v>15811078</v>
      </c>
      <c r="G96" s="29">
        <f t="shared" si="1"/>
        <v>14009895</v>
      </c>
      <c r="H96" s="29">
        <f t="shared" si="1"/>
        <v>14514160</v>
      </c>
      <c r="I96" s="29">
        <f t="shared" si="1"/>
        <v>17223011</v>
      </c>
      <c r="J96" s="29">
        <f t="shared" si="1"/>
        <v>17656497</v>
      </c>
      <c r="K96" s="29">
        <f t="shared" si="1"/>
        <v>18329905</v>
      </c>
      <c r="L96" s="29">
        <f t="shared" si="1"/>
        <v>17770786</v>
      </c>
      <c r="M96" s="29">
        <f t="shared" si="1"/>
        <v>17368767</v>
      </c>
      <c r="N96" s="27">
        <f t="shared" si="1"/>
        <v>199935149</v>
      </c>
    </row>
    <row r="97" ht="9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8.25"/>
    <col customWidth="1" min="2" max="2" width="16.75"/>
    <col customWidth="1" min="3" max="3" width="10.25"/>
    <col customWidth="1" min="4" max="5" width="11.75"/>
    <col customWidth="1" min="6" max="6" width="9.88"/>
    <col customWidth="1" min="7" max="7" width="10.0"/>
    <col customWidth="1" min="8" max="8" width="10.38"/>
    <col customWidth="1" min="9" max="9" width="11.63"/>
    <col customWidth="1" min="10" max="10" width="10.25"/>
    <col customWidth="1" min="11" max="11" width="10.38"/>
    <col customWidth="1" min="12" max="12" width="11.38"/>
    <col customWidth="1" min="13" max="13" width="10.25"/>
    <col customWidth="1" min="14" max="14" width="10.38"/>
    <col customWidth="1" min="15" max="15" width="10.0"/>
    <col customWidth="1" min="16" max="16" width="11.75"/>
    <col customWidth="1" min="17" max="17" width="9.0"/>
    <col customWidth="1" min="18" max="18" width="10.63"/>
    <col customWidth="1" min="19" max="19" width="11.13"/>
    <col customWidth="1" min="20" max="20" width="10.63"/>
    <col customWidth="1" min="21" max="21" width="10.25"/>
    <col customWidth="1" min="22" max="22" width="12.75"/>
    <col customWidth="1" min="23" max="23" width="7.38"/>
    <col customWidth="1" min="24" max="25" width="8.0"/>
  </cols>
  <sheetData>
    <row r="1" ht="18.0" customHeight="1">
      <c r="A1" s="30"/>
      <c r="B1" s="31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  <c r="H1" s="32" t="s">
        <v>125</v>
      </c>
      <c r="I1" s="32" t="s">
        <v>126</v>
      </c>
      <c r="J1" s="32" t="s">
        <v>127</v>
      </c>
      <c r="K1" s="32" t="s">
        <v>128</v>
      </c>
      <c r="L1" s="32" t="s">
        <v>129</v>
      </c>
      <c r="M1" s="32" t="s">
        <v>130</v>
      </c>
      <c r="N1" s="32" t="s">
        <v>131</v>
      </c>
      <c r="O1" s="32" t="s">
        <v>132</v>
      </c>
      <c r="P1" s="32" t="s">
        <v>133</v>
      </c>
      <c r="Q1" s="32" t="s">
        <v>134</v>
      </c>
      <c r="R1" s="32" t="s">
        <v>135</v>
      </c>
      <c r="S1" s="32" t="s">
        <v>136</v>
      </c>
      <c r="T1" s="32" t="s">
        <v>137</v>
      </c>
      <c r="U1" s="33" t="s">
        <v>118</v>
      </c>
      <c r="V1" s="34" t="s">
        <v>116</v>
      </c>
      <c r="W1" s="32" t="s">
        <v>138</v>
      </c>
      <c r="X1" s="2"/>
      <c r="Y1" s="2"/>
    </row>
    <row r="2" ht="15.0" customHeight="1">
      <c r="A2" s="35">
        <v>101.0</v>
      </c>
      <c r="B2" s="25" t="s">
        <v>18</v>
      </c>
      <c r="C2" s="36">
        <v>257000.0</v>
      </c>
      <c r="D2" s="36">
        <v>124000.0</v>
      </c>
      <c r="E2" s="36">
        <v>32305.0</v>
      </c>
      <c r="F2" s="36"/>
      <c r="G2" s="36">
        <v>344595.0</v>
      </c>
      <c r="H2" s="36">
        <v>602500.0</v>
      </c>
      <c r="I2" s="36">
        <v>26465.0</v>
      </c>
      <c r="J2" s="36">
        <v>243560.0</v>
      </c>
      <c r="K2" s="36"/>
      <c r="L2" s="37">
        <v>19000.0</v>
      </c>
      <c r="M2" s="37">
        <v>3000.0</v>
      </c>
      <c r="N2" s="37">
        <v>62635.0</v>
      </c>
      <c r="O2" s="37">
        <v>11125.0</v>
      </c>
      <c r="P2" s="37">
        <v>149359.0</v>
      </c>
      <c r="Q2" s="37">
        <v>14980.0</v>
      </c>
      <c r="R2" s="37"/>
      <c r="S2" s="37">
        <v>1565791.0</v>
      </c>
      <c r="T2" s="37"/>
      <c r="U2" s="38">
        <v>124940.0</v>
      </c>
      <c r="V2" s="39">
        <v>3581255.0</v>
      </c>
      <c r="W2" s="40">
        <f t="shared" ref="W2:W95" si="1">(V2/$V$96)*100</f>
        <v>1.791208308</v>
      </c>
    </row>
    <row r="3" ht="15.0" customHeight="1">
      <c r="A3" s="35">
        <v>102.0</v>
      </c>
      <c r="B3" s="25" t="s">
        <v>20</v>
      </c>
      <c r="C3" s="36">
        <v>16450.0</v>
      </c>
      <c r="D3" s="36">
        <v>177175.0</v>
      </c>
      <c r="E3" s="36">
        <v>5066784.0</v>
      </c>
      <c r="F3" s="36">
        <v>3700.0</v>
      </c>
      <c r="G3" s="36">
        <v>64150.0</v>
      </c>
      <c r="H3" s="36">
        <v>276300.0</v>
      </c>
      <c r="I3" s="36">
        <v>5993650.0</v>
      </c>
      <c r="J3" s="36">
        <v>40125.0</v>
      </c>
      <c r="K3" s="36"/>
      <c r="L3" s="37">
        <v>162500.0</v>
      </c>
      <c r="M3" s="37">
        <v>98250.0</v>
      </c>
      <c r="N3" s="37">
        <v>75425.0</v>
      </c>
      <c r="O3" s="37">
        <v>880350.0</v>
      </c>
      <c r="P3" s="37">
        <v>6348530.0</v>
      </c>
      <c r="Q3" s="37">
        <v>56300.0</v>
      </c>
      <c r="R3" s="37">
        <v>5000.0</v>
      </c>
      <c r="S3" s="37">
        <v>168000.0</v>
      </c>
      <c r="T3" s="37"/>
      <c r="U3" s="38">
        <v>549810.0</v>
      </c>
      <c r="V3" s="39">
        <v>1.9982499E7</v>
      </c>
      <c r="W3" s="40">
        <f t="shared" si="1"/>
        <v>9.994490263</v>
      </c>
    </row>
    <row r="4" ht="15.0" customHeight="1">
      <c r="A4" s="35">
        <v>104.0</v>
      </c>
      <c r="B4" s="25" t="s">
        <v>21</v>
      </c>
      <c r="C4" s="36">
        <v>60440.0</v>
      </c>
      <c r="D4" s="36">
        <v>108740.0</v>
      </c>
      <c r="E4" s="36">
        <v>256948.0</v>
      </c>
      <c r="F4" s="36"/>
      <c r="G4" s="36">
        <v>215850.0</v>
      </c>
      <c r="H4" s="36">
        <v>4216230.0</v>
      </c>
      <c r="I4" s="36">
        <v>1.0529548E7</v>
      </c>
      <c r="J4" s="36">
        <v>35000.0</v>
      </c>
      <c r="K4" s="36"/>
      <c r="L4" s="37">
        <v>918060.0</v>
      </c>
      <c r="M4" s="37">
        <v>1013560.0</v>
      </c>
      <c r="N4" s="37">
        <v>99436.0</v>
      </c>
      <c r="O4" s="37">
        <v>14950.0</v>
      </c>
      <c r="P4" s="37">
        <v>29500.0</v>
      </c>
      <c r="Q4" s="37"/>
      <c r="R4" s="37"/>
      <c r="S4" s="37">
        <v>1.0097994E7</v>
      </c>
      <c r="T4" s="37"/>
      <c r="U4" s="38">
        <v>3310640.0</v>
      </c>
      <c r="V4" s="39">
        <v>3.0906896E7</v>
      </c>
      <c r="W4" s="40">
        <f t="shared" si="1"/>
        <v>15.45846048</v>
      </c>
    </row>
    <row r="5" ht="15.0" customHeight="1">
      <c r="A5" s="35">
        <v>105.0</v>
      </c>
      <c r="B5" s="25" t="s">
        <v>22</v>
      </c>
      <c r="C5" s="36">
        <v>2000.0</v>
      </c>
      <c r="D5" s="36">
        <v>17800.0</v>
      </c>
      <c r="E5" s="36">
        <v>13000.0</v>
      </c>
      <c r="F5" s="36"/>
      <c r="G5" s="36">
        <v>22500.0</v>
      </c>
      <c r="H5" s="36">
        <v>172140.0</v>
      </c>
      <c r="I5" s="36">
        <v>229234.0</v>
      </c>
      <c r="J5" s="36">
        <v>6470.0</v>
      </c>
      <c r="K5" s="36"/>
      <c r="L5" s="37">
        <v>5120.0</v>
      </c>
      <c r="M5" s="37">
        <v>44940.0</v>
      </c>
      <c r="N5" s="37">
        <v>22240.0</v>
      </c>
      <c r="O5" s="37">
        <v>17000.0</v>
      </c>
      <c r="P5" s="37">
        <v>12000.0</v>
      </c>
      <c r="Q5" s="37"/>
      <c r="R5" s="37"/>
      <c r="S5" s="37">
        <v>5223720.0</v>
      </c>
      <c r="T5" s="37"/>
      <c r="U5" s="38">
        <v>99960.0</v>
      </c>
      <c r="V5" s="39">
        <v>5888124.0</v>
      </c>
      <c r="W5" s="40">
        <f t="shared" si="1"/>
        <v>2.945016936</v>
      </c>
    </row>
    <row r="6" ht="15.0" customHeight="1">
      <c r="A6" s="35">
        <v>106.0</v>
      </c>
      <c r="B6" s="25" t="s">
        <v>23</v>
      </c>
      <c r="C6" s="36">
        <v>90250.0</v>
      </c>
      <c r="D6" s="36">
        <v>7000.0</v>
      </c>
      <c r="E6" s="36">
        <v>13960.0</v>
      </c>
      <c r="F6" s="36"/>
      <c r="G6" s="36">
        <v>3000.0</v>
      </c>
      <c r="H6" s="36">
        <v>1000.0</v>
      </c>
      <c r="I6" s="36">
        <v>2880.0</v>
      </c>
      <c r="J6" s="36"/>
      <c r="K6" s="36"/>
      <c r="L6" s="37"/>
      <c r="M6" s="37"/>
      <c r="N6" s="37">
        <v>51848.0</v>
      </c>
      <c r="O6" s="37"/>
      <c r="P6" s="37">
        <v>26744.0</v>
      </c>
      <c r="Q6" s="37">
        <v>5000.0</v>
      </c>
      <c r="R6" s="37"/>
      <c r="S6" s="37">
        <v>1.8667116E7</v>
      </c>
      <c r="T6" s="37">
        <v>13000.0</v>
      </c>
      <c r="U6" s="38">
        <v>2000.0</v>
      </c>
      <c r="V6" s="39">
        <v>1.8883798E7</v>
      </c>
      <c r="W6" s="40">
        <f t="shared" si="1"/>
        <v>9.444961576</v>
      </c>
    </row>
    <row r="7" ht="15.0" customHeight="1">
      <c r="A7" s="35">
        <v>107.0</v>
      </c>
      <c r="B7" s="25" t="s">
        <v>24</v>
      </c>
      <c r="C7" s="36">
        <v>1333880.0</v>
      </c>
      <c r="D7" s="36">
        <v>378690.0</v>
      </c>
      <c r="E7" s="36">
        <v>32400.0</v>
      </c>
      <c r="F7" s="36"/>
      <c r="G7" s="36">
        <v>2000.0</v>
      </c>
      <c r="H7" s="36">
        <v>4150.0</v>
      </c>
      <c r="I7" s="36">
        <v>1500.0</v>
      </c>
      <c r="J7" s="36">
        <v>4600.0</v>
      </c>
      <c r="K7" s="36"/>
      <c r="L7" s="37">
        <v>18000.0</v>
      </c>
      <c r="M7" s="37">
        <v>4000.0</v>
      </c>
      <c r="N7" s="37"/>
      <c r="O7" s="37"/>
      <c r="P7" s="37"/>
      <c r="Q7" s="37"/>
      <c r="R7" s="37"/>
      <c r="S7" s="37">
        <v>29000.0</v>
      </c>
      <c r="T7" s="37"/>
      <c r="U7" s="38">
        <v>2000.0</v>
      </c>
      <c r="V7" s="39">
        <v>1810220.0</v>
      </c>
      <c r="W7" s="40">
        <f t="shared" si="1"/>
        <v>0.9054035816</v>
      </c>
    </row>
    <row r="8" ht="15.0" customHeight="1">
      <c r="A8" s="35">
        <v>108.0</v>
      </c>
      <c r="B8" s="25" t="s">
        <v>25</v>
      </c>
      <c r="C8" s="36">
        <v>672600.0</v>
      </c>
      <c r="D8" s="36">
        <v>1979995.0</v>
      </c>
      <c r="E8" s="36">
        <v>3170813.0</v>
      </c>
      <c r="F8" s="36"/>
      <c r="G8" s="36">
        <v>138320.0</v>
      </c>
      <c r="H8" s="36">
        <v>407600.0</v>
      </c>
      <c r="I8" s="36">
        <v>598850.0</v>
      </c>
      <c r="J8" s="36">
        <v>746450.0</v>
      </c>
      <c r="K8" s="36"/>
      <c r="L8" s="37">
        <v>2838400.0</v>
      </c>
      <c r="M8" s="37">
        <v>111800.0</v>
      </c>
      <c r="N8" s="37">
        <v>60470.0</v>
      </c>
      <c r="O8" s="37">
        <v>3000.0</v>
      </c>
      <c r="P8" s="37">
        <v>40800.0</v>
      </c>
      <c r="Q8" s="37">
        <v>42000.0</v>
      </c>
      <c r="R8" s="37">
        <v>24200.0</v>
      </c>
      <c r="S8" s="37">
        <v>110750.0</v>
      </c>
      <c r="T8" s="37"/>
      <c r="U8" s="38">
        <v>292500.0</v>
      </c>
      <c r="V8" s="39">
        <v>1.1238548E7</v>
      </c>
      <c r="W8" s="40">
        <f t="shared" si="1"/>
        <v>5.621096669</v>
      </c>
    </row>
    <row r="9" ht="15.0" customHeight="1">
      <c r="A9" s="41">
        <v>110.0</v>
      </c>
      <c r="B9" s="42" t="s">
        <v>26</v>
      </c>
      <c r="C9" s="43">
        <v>707550.0</v>
      </c>
      <c r="D9" s="43">
        <v>248150.0</v>
      </c>
      <c r="E9" s="43">
        <v>7205410.0</v>
      </c>
      <c r="F9" s="43">
        <v>3000.0</v>
      </c>
      <c r="G9" s="43">
        <v>87000.0</v>
      </c>
      <c r="H9" s="43">
        <v>900440.0</v>
      </c>
      <c r="I9" s="43">
        <v>1983210.0</v>
      </c>
      <c r="J9" s="43">
        <v>406010.0</v>
      </c>
      <c r="K9" s="43"/>
      <c r="L9" s="38">
        <v>5151210.0</v>
      </c>
      <c r="M9" s="38">
        <v>211400.0</v>
      </c>
      <c r="N9" s="38">
        <v>39260.0</v>
      </c>
      <c r="O9" s="38"/>
      <c r="P9" s="38">
        <v>32500.0</v>
      </c>
      <c r="Q9" s="38">
        <v>42820.0</v>
      </c>
      <c r="R9" s="38">
        <v>2600.0</v>
      </c>
      <c r="S9" s="38">
        <v>17400.0</v>
      </c>
      <c r="T9" s="38"/>
      <c r="U9" s="38">
        <v>878207.0</v>
      </c>
      <c r="V9" s="44">
        <v>1.7916167E7</v>
      </c>
      <c r="W9" s="40">
        <f t="shared" si="1"/>
        <v>8.960989146</v>
      </c>
      <c r="X9" s="45"/>
      <c r="Y9" s="45"/>
    </row>
    <row r="10" ht="15.0" customHeight="1">
      <c r="A10" s="41">
        <v>111.0</v>
      </c>
      <c r="B10" s="42" t="s">
        <v>27</v>
      </c>
      <c r="C10" s="43"/>
      <c r="D10" s="43">
        <v>2344100.0</v>
      </c>
      <c r="E10" s="43">
        <v>19750.0</v>
      </c>
      <c r="F10" s="43"/>
      <c r="G10" s="43">
        <v>310520.0</v>
      </c>
      <c r="H10" s="43">
        <v>1000.0</v>
      </c>
      <c r="I10" s="43">
        <v>2000.0</v>
      </c>
      <c r="J10" s="43">
        <v>4000.0</v>
      </c>
      <c r="K10" s="43"/>
      <c r="L10" s="38">
        <v>237460.0</v>
      </c>
      <c r="M10" s="38"/>
      <c r="N10" s="38">
        <v>396300.0</v>
      </c>
      <c r="O10" s="38">
        <v>53000.0</v>
      </c>
      <c r="P10" s="38">
        <v>205720.0</v>
      </c>
      <c r="Q10" s="38">
        <v>54000.0</v>
      </c>
      <c r="R10" s="38"/>
      <c r="S10" s="38">
        <v>220180.0</v>
      </c>
      <c r="T10" s="38"/>
      <c r="U10" s="38">
        <v>67190.0</v>
      </c>
      <c r="V10" s="44">
        <v>3915220.0</v>
      </c>
      <c r="W10" s="40">
        <f t="shared" si="1"/>
        <v>1.958244971</v>
      </c>
      <c r="X10" s="45"/>
      <c r="Y10" s="45"/>
    </row>
    <row r="11" ht="15.0" customHeight="1">
      <c r="A11" s="35">
        <v>113.0</v>
      </c>
      <c r="B11" s="25" t="s">
        <v>28</v>
      </c>
      <c r="C11" s="36">
        <v>8050.0</v>
      </c>
      <c r="D11" s="36"/>
      <c r="E11" s="36"/>
      <c r="F11" s="36"/>
      <c r="G11" s="36"/>
      <c r="H11" s="36">
        <v>39885.0</v>
      </c>
      <c r="I11" s="36"/>
      <c r="J11" s="36">
        <v>3660.0</v>
      </c>
      <c r="K11" s="36"/>
      <c r="L11" s="37"/>
      <c r="M11" s="37"/>
      <c r="N11" s="37"/>
      <c r="O11" s="37"/>
      <c r="P11" s="37"/>
      <c r="Q11" s="37"/>
      <c r="R11" s="37"/>
      <c r="S11" s="37"/>
      <c r="T11" s="37"/>
      <c r="U11" s="38">
        <v>0.0</v>
      </c>
      <c r="V11" s="39">
        <v>51595.0</v>
      </c>
      <c r="W11" s="40">
        <f t="shared" si="1"/>
        <v>0.02580586768</v>
      </c>
    </row>
    <row r="12" ht="15.0" customHeight="1">
      <c r="A12" s="35">
        <v>114.0</v>
      </c>
      <c r="B12" s="25" t="s">
        <v>29</v>
      </c>
      <c r="C12" s="36">
        <v>270600.0</v>
      </c>
      <c r="D12" s="36">
        <v>1294225.0</v>
      </c>
      <c r="E12" s="36">
        <v>721765.0</v>
      </c>
      <c r="F12" s="36"/>
      <c r="G12" s="36">
        <v>9000.0</v>
      </c>
      <c r="H12" s="36">
        <v>77195.0</v>
      </c>
      <c r="I12" s="36">
        <v>196195.0</v>
      </c>
      <c r="J12" s="36">
        <v>18500.0</v>
      </c>
      <c r="K12" s="36"/>
      <c r="L12" s="37">
        <v>1646315.0</v>
      </c>
      <c r="M12" s="37">
        <v>603155.0</v>
      </c>
      <c r="N12" s="37">
        <v>17750.0</v>
      </c>
      <c r="O12" s="37">
        <v>2000.0</v>
      </c>
      <c r="P12" s="37">
        <v>1000.0</v>
      </c>
      <c r="Q12" s="37"/>
      <c r="R12" s="37"/>
      <c r="S12" s="37">
        <v>32500.0</v>
      </c>
      <c r="T12" s="37"/>
      <c r="U12" s="38">
        <v>32750.0</v>
      </c>
      <c r="V12" s="39">
        <v>4922950.0</v>
      </c>
      <c r="W12" s="40">
        <f t="shared" si="1"/>
        <v>2.462273404</v>
      </c>
    </row>
    <row r="13" ht="15.0" customHeight="1">
      <c r="A13" s="35">
        <v>115.0</v>
      </c>
      <c r="B13" s="25" t="s">
        <v>30</v>
      </c>
      <c r="C13" s="36">
        <v>9400.0</v>
      </c>
      <c r="D13" s="36">
        <v>464930.0</v>
      </c>
      <c r="E13" s="36">
        <v>553600.0</v>
      </c>
      <c r="F13" s="36"/>
      <c r="G13" s="36">
        <v>41000.0</v>
      </c>
      <c r="H13" s="36">
        <v>17320.0</v>
      </c>
      <c r="I13" s="36">
        <v>61500.0</v>
      </c>
      <c r="J13" s="36">
        <v>9000.0</v>
      </c>
      <c r="K13" s="36"/>
      <c r="L13" s="37">
        <v>236000.0</v>
      </c>
      <c r="M13" s="37">
        <v>3150.0</v>
      </c>
      <c r="N13" s="37">
        <v>151280.0</v>
      </c>
      <c r="O13" s="37">
        <v>10000.0</v>
      </c>
      <c r="P13" s="37">
        <v>250890.0</v>
      </c>
      <c r="Q13" s="37">
        <v>8000.0</v>
      </c>
      <c r="R13" s="37">
        <v>56000.0</v>
      </c>
      <c r="S13" s="37">
        <v>103120.0</v>
      </c>
      <c r="T13" s="37"/>
      <c r="U13" s="38">
        <v>36500.0</v>
      </c>
      <c r="V13" s="39">
        <v>2011690.0</v>
      </c>
      <c r="W13" s="40">
        <f t="shared" si="1"/>
        <v>1.006171256</v>
      </c>
    </row>
    <row r="14" ht="15.0" customHeight="1">
      <c r="A14" s="35">
        <v>116.0</v>
      </c>
      <c r="B14" s="25" t="s">
        <v>31</v>
      </c>
      <c r="C14" s="36"/>
      <c r="D14" s="36">
        <v>2000.0</v>
      </c>
      <c r="E14" s="36"/>
      <c r="F14" s="36"/>
      <c r="G14" s="36">
        <v>8000.0</v>
      </c>
      <c r="H14" s="36"/>
      <c r="I14" s="36"/>
      <c r="J14" s="36"/>
      <c r="K14" s="36"/>
      <c r="L14" s="37"/>
      <c r="M14" s="37"/>
      <c r="N14" s="37">
        <v>7160.0</v>
      </c>
      <c r="O14" s="37"/>
      <c r="P14" s="37">
        <v>29000.0</v>
      </c>
      <c r="Q14" s="37"/>
      <c r="R14" s="37"/>
      <c r="S14" s="37"/>
      <c r="T14" s="37"/>
      <c r="U14" s="38">
        <v>0.0</v>
      </c>
      <c r="V14" s="39">
        <v>46160.0</v>
      </c>
      <c r="W14" s="40">
        <f t="shared" si="1"/>
        <v>0.02308748623</v>
      </c>
    </row>
    <row r="15" ht="15.0" customHeight="1">
      <c r="A15" s="35">
        <v>117.0</v>
      </c>
      <c r="B15" s="25" t="s">
        <v>32</v>
      </c>
      <c r="C15" s="36">
        <v>42030.0</v>
      </c>
      <c r="D15" s="36">
        <v>511850.0</v>
      </c>
      <c r="E15" s="36">
        <v>503500.0</v>
      </c>
      <c r="F15" s="36"/>
      <c r="G15" s="36">
        <v>70000.0</v>
      </c>
      <c r="H15" s="36">
        <v>17540.0</v>
      </c>
      <c r="I15" s="36">
        <v>350150.0</v>
      </c>
      <c r="J15" s="36">
        <v>15000.0</v>
      </c>
      <c r="K15" s="36"/>
      <c r="L15" s="37">
        <v>71000.0</v>
      </c>
      <c r="M15" s="37">
        <v>11000.0</v>
      </c>
      <c r="N15" s="37">
        <v>586180.0</v>
      </c>
      <c r="O15" s="37">
        <v>16000.0</v>
      </c>
      <c r="P15" s="37">
        <v>783210.0</v>
      </c>
      <c r="Q15" s="37">
        <v>14500.0</v>
      </c>
      <c r="R15" s="37"/>
      <c r="S15" s="37">
        <v>126050.0</v>
      </c>
      <c r="T15" s="37"/>
      <c r="U15" s="38">
        <v>40500.0</v>
      </c>
      <c r="V15" s="39">
        <v>3158510.0</v>
      </c>
      <c r="W15" s="40">
        <f t="shared" si="1"/>
        <v>1.579767247</v>
      </c>
    </row>
    <row r="16" ht="15.0" customHeight="1">
      <c r="A16" s="35">
        <v>118.0</v>
      </c>
      <c r="B16" s="25" t="s">
        <v>33</v>
      </c>
      <c r="C16" s="36">
        <v>11750.0</v>
      </c>
      <c r="D16" s="36">
        <v>144850.0</v>
      </c>
      <c r="E16" s="36">
        <v>130222.0</v>
      </c>
      <c r="F16" s="36"/>
      <c r="G16" s="36">
        <v>81000.0</v>
      </c>
      <c r="H16" s="36">
        <v>32480.0</v>
      </c>
      <c r="I16" s="36">
        <v>247350.0</v>
      </c>
      <c r="J16" s="36">
        <v>315400.0</v>
      </c>
      <c r="K16" s="36"/>
      <c r="L16" s="37">
        <v>191430.0</v>
      </c>
      <c r="M16" s="37">
        <v>153700.0</v>
      </c>
      <c r="N16" s="37">
        <v>101180.0</v>
      </c>
      <c r="O16" s="37">
        <v>5000.0</v>
      </c>
      <c r="P16" s="37">
        <v>85090.0</v>
      </c>
      <c r="Q16" s="37">
        <v>15000.0</v>
      </c>
      <c r="R16" s="37"/>
      <c r="S16" s="37">
        <v>1025800.0</v>
      </c>
      <c r="T16" s="37"/>
      <c r="U16" s="38">
        <v>65720.0</v>
      </c>
      <c r="V16" s="39">
        <v>2605972.0</v>
      </c>
      <c r="W16" s="40">
        <f t="shared" si="1"/>
        <v>1.303408637</v>
      </c>
    </row>
    <row r="17" ht="15.0" customHeight="1">
      <c r="A17" s="35">
        <v>119.0</v>
      </c>
      <c r="B17" s="25" t="s">
        <v>34</v>
      </c>
      <c r="C17" s="36">
        <v>7500.0</v>
      </c>
      <c r="D17" s="36">
        <v>156516.0</v>
      </c>
      <c r="E17" s="36">
        <v>1947606.0</v>
      </c>
      <c r="F17" s="36">
        <v>1500.0</v>
      </c>
      <c r="G17" s="36">
        <v>119800.0</v>
      </c>
      <c r="H17" s="36">
        <v>16500.0</v>
      </c>
      <c r="I17" s="36">
        <v>110500.0</v>
      </c>
      <c r="J17" s="36">
        <v>57500.0</v>
      </c>
      <c r="K17" s="36">
        <v>2000.0</v>
      </c>
      <c r="L17" s="37">
        <v>100100.0</v>
      </c>
      <c r="M17" s="37">
        <v>62250.0</v>
      </c>
      <c r="N17" s="37">
        <v>26540.0</v>
      </c>
      <c r="O17" s="37">
        <v>2000.0</v>
      </c>
      <c r="P17" s="37">
        <v>108670.0</v>
      </c>
      <c r="Q17" s="37">
        <v>50350.0</v>
      </c>
      <c r="R17" s="37"/>
      <c r="S17" s="37">
        <v>46240.0</v>
      </c>
      <c r="T17" s="37"/>
      <c r="U17" s="38">
        <v>47350.0</v>
      </c>
      <c r="V17" s="39">
        <v>2862922.0</v>
      </c>
      <c r="W17" s="40">
        <f t="shared" si="1"/>
        <v>1.431925309</v>
      </c>
    </row>
    <row r="18" ht="15.0" customHeight="1">
      <c r="A18" s="35">
        <v>120.0</v>
      </c>
      <c r="B18" s="25" t="s">
        <v>35</v>
      </c>
      <c r="C18" s="36"/>
      <c r="D18" s="36">
        <v>32900.0</v>
      </c>
      <c r="E18" s="36">
        <v>6500.0</v>
      </c>
      <c r="F18" s="36"/>
      <c r="G18" s="36">
        <v>122000.0</v>
      </c>
      <c r="H18" s="36"/>
      <c r="I18" s="36"/>
      <c r="J18" s="36"/>
      <c r="K18" s="36"/>
      <c r="L18" s="37">
        <v>13600.0</v>
      </c>
      <c r="M18" s="37"/>
      <c r="N18" s="37">
        <v>33450.0</v>
      </c>
      <c r="O18" s="37">
        <v>10100.0</v>
      </c>
      <c r="P18" s="37">
        <v>233350.0</v>
      </c>
      <c r="Q18" s="37">
        <v>126050.0</v>
      </c>
      <c r="R18" s="37"/>
      <c r="S18" s="37">
        <v>217900.0</v>
      </c>
      <c r="T18" s="37"/>
      <c r="U18" s="38">
        <v>27500.0</v>
      </c>
      <c r="V18" s="39">
        <v>823350.0</v>
      </c>
      <c r="W18" s="40">
        <f t="shared" si="1"/>
        <v>0.411808531</v>
      </c>
    </row>
    <row r="19" ht="15.0" customHeight="1">
      <c r="A19" s="35">
        <v>121.0</v>
      </c>
      <c r="B19" s="25" t="s">
        <v>36</v>
      </c>
      <c r="C19" s="36">
        <v>6000.0</v>
      </c>
      <c r="D19" s="36">
        <v>16000.0</v>
      </c>
      <c r="E19" s="36">
        <v>9000.0</v>
      </c>
      <c r="F19" s="36"/>
      <c r="G19" s="36"/>
      <c r="H19" s="36">
        <v>161650.0</v>
      </c>
      <c r="I19" s="36">
        <v>20000.0</v>
      </c>
      <c r="J19" s="36">
        <v>9000.0</v>
      </c>
      <c r="K19" s="36"/>
      <c r="L19" s="37">
        <v>1000.0</v>
      </c>
      <c r="M19" s="37"/>
      <c r="N19" s="37"/>
      <c r="O19" s="37"/>
      <c r="P19" s="37"/>
      <c r="Q19" s="37"/>
      <c r="R19" s="37"/>
      <c r="S19" s="37"/>
      <c r="T19" s="37"/>
      <c r="U19" s="38">
        <v>2000.0</v>
      </c>
      <c r="V19" s="39">
        <v>224650.0</v>
      </c>
      <c r="W19" s="40">
        <f t="shared" si="1"/>
        <v>0.1123614338</v>
      </c>
    </row>
    <row r="20" ht="15.0" customHeight="1">
      <c r="A20" s="35">
        <v>122.0</v>
      </c>
      <c r="B20" s="25" t="s">
        <v>37</v>
      </c>
      <c r="C20" s="36">
        <v>1000.0</v>
      </c>
      <c r="D20" s="36">
        <v>199775.0</v>
      </c>
      <c r="E20" s="36">
        <v>1942410.0</v>
      </c>
      <c r="F20" s="36">
        <v>1000.0</v>
      </c>
      <c r="G20" s="36">
        <v>325140.0</v>
      </c>
      <c r="H20" s="36">
        <v>18000.0</v>
      </c>
      <c r="I20" s="36">
        <v>190550.0</v>
      </c>
      <c r="J20" s="36">
        <v>11000.0</v>
      </c>
      <c r="K20" s="36"/>
      <c r="L20" s="37">
        <v>64500.0</v>
      </c>
      <c r="M20" s="37">
        <v>7000.0</v>
      </c>
      <c r="N20" s="37">
        <v>107500.0</v>
      </c>
      <c r="O20" s="37">
        <v>4000.0</v>
      </c>
      <c r="P20" s="37">
        <v>65000.0</v>
      </c>
      <c r="Q20" s="37">
        <v>25200.0</v>
      </c>
      <c r="R20" s="37">
        <v>5000.0</v>
      </c>
      <c r="S20" s="37">
        <v>434900.0</v>
      </c>
      <c r="T20" s="37"/>
      <c r="U20" s="38">
        <v>32000.0</v>
      </c>
      <c r="V20" s="39">
        <v>3433975.0</v>
      </c>
      <c r="W20" s="40">
        <f t="shared" si="1"/>
        <v>1.717544422</v>
      </c>
    </row>
    <row r="21" ht="15.0" customHeight="1">
      <c r="A21" s="35">
        <v>123.0</v>
      </c>
      <c r="B21" s="25" t="s">
        <v>38</v>
      </c>
      <c r="C21" s="36">
        <v>14500.0</v>
      </c>
      <c r="D21" s="36">
        <v>149000.0</v>
      </c>
      <c r="E21" s="36">
        <v>1004000.0</v>
      </c>
      <c r="F21" s="36"/>
      <c r="G21" s="36">
        <v>76000.0</v>
      </c>
      <c r="H21" s="36">
        <v>15000.0</v>
      </c>
      <c r="I21" s="36">
        <v>229000.0</v>
      </c>
      <c r="J21" s="36">
        <v>8000.0</v>
      </c>
      <c r="K21" s="36"/>
      <c r="L21" s="37">
        <v>62000.0</v>
      </c>
      <c r="M21" s="37">
        <v>4000.0</v>
      </c>
      <c r="N21" s="37">
        <v>31150.0</v>
      </c>
      <c r="O21" s="37">
        <v>5000.0</v>
      </c>
      <c r="P21" s="37">
        <v>35000.0</v>
      </c>
      <c r="Q21" s="37">
        <v>15000.0</v>
      </c>
      <c r="R21" s="37">
        <v>2200.0</v>
      </c>
      <c r="S21" s="37">
        <v>202500.0</v>
      </c>
      <c r="T21" s="37"/>
      <c r="U21" s="38">
        <v>106000.0</v>
      </c>
      <c r="V21" s="39">
        <v>1958350.0</v>
      </c>
      <c r="W21" s="40">
        <f t="shared" si="1"/>
        <v>0.9794926054</v>
      </c>
    </row>
    <row r="22" ht="15.0" customHeight="1">
      <c r="A22" s="35">
        <v>124.0</v>
      </c>
      <c r="B22" s="25" t="s">
        <v>39</v>
      </c>
      <c r="C22" s="36"/>
      <c r="D22" s="36">
        <v>182000.0</v>
      </c>
      <c r="E22" s="36">
        <v>12000.0</v>
      </c>
      <c r="F22" s="36"/>
      <c r="G22" s="36">
        <v>170620.0</v>
      </c>
      <c r="H22" s="36"/>
      <c r="I22" s="36"/>
      <c r="J22" s="36"/>
      <c r="K22" s="36"/>
      <c r="L22" s="37">
        <v>15000.0</v>
      </c>
      <c r="M22" s="37"/>
      <c r="N22" s="37">
        <v>155020.0</v>
      </c>
      <c r="O22" s="37">
        <v>28000.0</v>
      </c>
      <c r="P22" s="37">
        <v>523100.0</v>
      </c>
      <c r="Q22" s="37">
        <v>92080.0</v>
      </c>
      <c r="R22" s="37"/>
      <c r="S22" s="37">
        <v>775100.0</v>
      </c>
      <c r="T22" s="37"/>
      <c r="U22" s="38">
        <v>447000.0</v>
      </c>
      <c r="V22" s="39">
        <v>2399920.0</v>
      </c>
      <c r="W22" s="40">
        <f t="shared" si="1"/>
        <v>1.200349219</v>
      </c>
    </row>
    <row r="23" ht="15.0" customHeight="1">
      <c r="A23" s="35">
        <v>125.0</v>
      </c>
      <c r="B23" s="25" t="s">
        <v>40</v>
      </c>
      <c r="C23" s="36"/>
      <c r="D23" s="36">
        <v>47000.0</v>
      </c>
      <c r="E23" s="36">
        <v>181000.0</v>
      </c>
      <c r="F23" s="36"/>
      <c r="G23" s="36"/>
      <c r="H23" s="36"/>
      <c r="I23" s="36">
        <v>13500.0</v>
      </c>
      <c r="J23" s="36"/>
      <c r="K23" s="36"/>
      <c r="L23" s="37">
        <v>9000.0</v>
      </c>
      <c r="M23" s="37">
        <v>7000.0</v>
      </c>
      <c r="N23" s="37">
        <v>1000.0</v>
      </c>
      <c r="O23" s="37"/>
      <c r="P23" s="37"/>
      <c r="Q23" s="37"/>
      <c r="R23" s="37"/>
      <c r="S23" s="37">
        <v>6000.0</v>
      </c>
      <c r="T23" s="37"/>
      <c r="U23" s="38">
        <v>1000.0</v>
      </c>
      <c r="V23" s="39">
        <v>265500.0</v>
      </c>
      <c r="W23" s="40">
        <f t="shared" si="1"/>
        <v>0.1327930588</v>
      </c>
    </row>
    <row r="24" ht="15.0" customHeight="1">
      <c r="A24" s="35">
        <v>126.0</v>
      </c>
      <c r="B24" s="25" t="s">
        <v>41</v>
      </c>
      <c r="C24" s="36">
        <v>2000.0</v>
      </c>
      <c r="D24" s="36">
        <v>165500.0</v>
      </c>
      <c r="E24" s="36">
        <v>914300.0</v>
      </c>
      <c r="F24" s="36"/>
      <c r="G24" s="36"/>
      <c r="H24" s="36">
        <v>4000.0</v>
      </c>
      <c r="I24" s="36">
        <v>56600.0</v>
      </c>
      <c r="J24" s="36">
        <v>3000.0</v>
      </c>
      <c r="K24" s="36"/>
      <c r="L24" s="37">
        <v>59000.0</v>
      </c>
      <c r="M24" s="37">
        <v>11000.0</v>
      </c>
      <c r="N24" s="37">
        <v>54000.0</v>
      </c>
      <c r="O24" s="37">
        <v>11000.0</v>
      </c>
      <c r="P24" s="37">
        <v>44000.0</v>
      </c>
      <c r="Q24" s="37"/>
      <c r="R24" s="37">
        <v>1000.0</v>
      </c>
      <c r="S24" s="37">
        <v>6500.0</v>
      </c>
      <c r="T24" s="37"/>
      <c r="U24" s="38">
        <v>5000.0</v>
      </c>
      <c r="V24" s="39">
        <v>1336900.0</v>
      </c>
      <c r="W24" s="40">
        <f t="shared" si="1"/>
        <v>0.6686668186</v>
      </c>
    </row>
    <row r="25" ht="15.0" customHeight="1">
      <c r="A25" s="35">
        <v>127.0</v>
      </c>
      <c r="B25" s="25" t="s">
        <v>42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37"/>
      <c r="N25" s="37"/>
      <c r="O25" s="37"/>
      <c r="P25" s="37">
        <v>4000.0</v>
      </c>
      <c r="Q25" s="37"/>
      <c r="R25" s="37"/>
      <c r="S25" s="37"/>
      <c r="T25" s="37"/>
      <c r="U25" s="38">
        <v>0.0</v>
      </c>
      <c r="V25" s="39">
        <v>4000.0</v>
      </c>
      <c r="W25" s="40">
        <f t="shared" si="1"/>
        <v>0.00200064872</v>
      </c>
    </row>
    <row r="26" ht="15.0" customHeight="1">
      <c r="A26" s="35">
        <v>128.0</v>
      </c>
      <c r="B26" s="25" t="s">
        <v>43</v>
      </c>
      <c r="C26" s="36"/>
      <c r="D26" s="36">
        <v>96100.0</v>
      </c>
      <c r="E26" s="36">
        <v>86000.0</v>
      </c>
      <c r="F26" s="36">
        <v>3000.0</v>
      </c>
      <c r="G26" s="36">
        <v>117000.0</v>
      </c>
      <c r="H26" s="36">
        <v>8000.0</v>
      </c>
      <c r="I26" s="36">
        <v>147200.0</v>
      </c>
      <c r="J26" s="36">
        <v>15000.0</v>
      </c>
      <c r="K26" s="36"/>
      <c r="L26" s="37">
        <v>43300.0</v>
      </c>
      <c r="M26" s="37">
        <v>35500.0</v>
      </c>
      <c r="N26" s="37">
        <v>45000.0</v>
      </c>
      <c r="O26" s="37"/>
      <c r="P26" s="37">
        <v>16000.0</v>
      </c>
      <c r="Q26" s="37">
        <v>9000.0</v>
      </c>
      <c r="R26" s="37"/>
      <c r="S26" s="37">
        <v>214000.0</v>
      </c>
      <c r="T26" s="37"/>
      <c r="U26" s="38">
        <v>287000.0</v>
      </c>
      <c r="V26" s="39">
        <v>1122100.0</v>
      </c>
      <c r="W26" s="40">
        <f t="shared" si="1"/>
        <v>0.5612319823</v>
      </c>
    </row>
    <row r="27" ht="15.0" customHeight="1">
      <c r="A27" s="35">
        <v>129.0</v>
      </c>
      <c r="B27" s="25" t="s">
        <v>44</v>
      </c>
      <c r="C27" s="36">
        <v>566700.0</v>
      </c>
      <c r="D27" s="36">
        <v>485965.0</v>
      </c>
      <c r="E27" s="36">
        <v>787251.0</v>
      </c>
      <c r="F27" s="36">
        <v>1000.0</v>
      </c>
      <c r="G27" s="36">
        <v>9000.0</v>
      </c>
      <c r="H27" s="36">
        <v>136985.0</v>
      </c>
      <c r="I27" s="36">
        <v>309900.0</v>
      </c>
      <c r="J27" s="36">
        <v>77450.0</v>
      </c>
      <c r="K27" s="36"/>
      <c r="L27" s="37">
        <v>242450.0</v>
      </c>
      <c r="M27" s="37">
        <v>41200.0</v>
      </c>
      <c r="N27" s="37"/>
      <c r="O27" s="37"/>
      <c r="P27" s="37">
        <v>18750.0</v>
      </c>
      <c r="Q27" s="37">
        <v>8000.0</v>
      </c>
      <c r="R27" s="37"/>
      <c r="S27" s="37">
        <v>8000.0</v>
      </c>
      <c r="T27" s="37"/>
      <c r="U27" s="38">
        <v>113000.0</v>
      </c>
      <c r="V27" s="39">
        <v>2805651.0</v>
      </c>
      <c r="W27" s="40">
        <f t="shared" si="1"/>
        <v>1.403280521</v>
      </c>
    </row>
    <row r="28" ht="15.0" customHeight="1">
      <c r="A28" s="35">
        <v>130.0</v>
      </c>
      <c r="B28" s="25" t="s">
        <v>45</v>
      </c>
      <c r="C28" s="36">
        <v>31955.0</v>
      </c>
      <c r="D28" s="36"/>
      <c r="E28" s="36"/>
      <c r="F28" s="36"/>
      <c r="G28" s="36"/>
      <c r="H28" s="36">
        <v>8755.0</v>
      </c>
      <c r="I28" s="36"/>
      <c r="J28" s="36">
        <v>100.0</v>
      </c>
      <c r="K28" s="36"/>
      <c r="L28" s="37"/>
      <c r="M28" s="37"/>
      <c r="N28" s="37"/>
      <c r="O28" s="37"/>
      <c r="P28" s="37"/>
      <c r="Q28" s="37"/>
      <c r="R28" s="37"/>
      <c r="S28" s="37"/>
      <c r="T28" s="37"/>
      <c r="U28" s="38">
        <v>25.0</v>
      </c>
      <c r="V28" s="39">
        <v>40835.0</v>
      </c>
      <c r="W28" s="40">
        <f t="shared" si="1"/>
        <v>0.02042412262</v>
      </c>
    </row>
    <row r="29" ht="15.0" customHeight="1">
      <c r="A29" s="35">
        <v>131.0</v>
      </c>
      <c r="B29" s="25" t="s">
        <v>46</v>
      </c>
      <c r="C29" s="36">
        <v>1000.0</v>
      </c>
      <c r="D29" s="36">
        <v>388000.0</v>
      </c>
      <c r="E29" s="36">
        <v>810400.0</v>
      </c>
      <c r="F29" s="36"/>
      <c r="G29" s="36">
        <v>50000.0</v>
      </c>
      <c r="H29" s="36">
        <v>6000.0</v>
      </c>
      <c r="I29" s="36">
        <v>60500.0</v>
      </c>
      <c r="J29" s="36">
        <v>6000.0</v>
      </c>
      <c r="K29" s="36"/>
      <c r="L29" s="37">
        <v>30200.0</v>
      </c>
      <c r="M29" s="37">
        <v>21000.0</v>
      </c>
      <c r="N29" s="37">
        <v>137100.0</v>
      </c>
      <c r="O29" s="37">
        <v>35200.0</v>
      </c>
      <c r="P29" s="37">
        <v>56975.0</v>
      </c>
      <c r="Q29" s="37">
        <v>6000.0</v>
      </c>
      <c r="R29" s="37">
        <v>2000.0</v>
      </c>
      <c r="S29" s="37">
        <v>325500.0</v>
      </c>
      <c r="T29" s="37"/>
      <c r="U29" s="38">
        <v>40000.0</v>
      </c>
      <c r="V29" s="39">
        <v>1975875.0</v>
      </c>
      <c r="W29" s="40">
        <f t="shared" si="1"/>
        <v>0.9882579476</v>
      </c>
    </row>
    <row r="30" ht="15.0" customHeight="1">
      <c r="A30" s="35">
        <v>132.0</v>
      </c>
      <c r="B30" s="25" t="s">
        <v>47</v>
      </c>
      <c r="C30" s="36"/>
      <c r="D30" s="36">
        <v>7000.0</v>
      </c>
      <c r="E30" s="36">
        <v>24500.0</v>
      </c>
      <c r="F30" s="36"/>
      <c r="G30" s="36"/>
      <c r="H30" s="36">
        <v>6000.0</v>
      </c>
      <c r="I30" s="36">
        <v>3000.0</v>
      </c>
      <c r="J30" s="36"/>
      <c r="K30" s="36"/>
      <c r="L30" s="37">
        <v>2000.0</v>
      </c>
      <c r="M30" s="37">
        <v>10000.0</v>
      </c>
      <c r="N30" s="37">
        <v>4000.0</v>
      </c>
      <c r="O30" s="37"/>
      <c r="P30" s="37">
        <v>4000.0</v>
      </c>
      <c r="Q30" s="37"/>
      <c r="R30" s="37">
        <v>2000.0</v>
      </c>
      <c r="S30" s="37"/>
      <c r="T30" s="37"/>
      <c r="U30" s="38">
        <v>0.0</v>
      </c>
      <c r="V30" s="39">
        <v>62500.0</v>
      </c>
      <c r="W30" s="40">
        <f t="shared" si="1"/>
        <v>0.03126013626</v>
      </c>
    </row>
    <row r="31" ht="15.0" customHeight="1">
      <c r="A31" s="35">
        <v>133.0</v>
      </c>
      <c r="B31" s="25" t="s">
        <v>48</v>
      </c>
      <c r="C31" s="36"/>
      <c r="D31" s="36">
        <v>650.0</v>
      </c>
      <c r="E31" s="36">
        <v>16040.0</v>
      </c>
      <c r="F31" s="36"/>
      <c r="G31" s="36">
        <v>6000.0</v>
      </c>
      <c r="H31" s="36">
        <v>5400.0</v>
      </c>
      <c r="I31" s="36">
        <v>12500.0</v>
      </c>
      <c r="J31" s="36">
        <v>29700.0</v>
      </c>
      <c r="K31" s="36"/>
      <c r="L31" s="37">
        <v>43500.0</v>
      </c>
      <c r="M31" s="37"/>
      <c r="N31" s="37">
        <v>8000.0</v>
      </c>
      <c r="O31" s="37">
        <v>1000.0</v>
      </c>
      <c r="P31" s="37">
        <v>2000.0</v>
      </c>
      <c r="Q31" s="37"/>
      <c r="R31" s="37"/>
      <c r="S31" s="37">
        <v>12000.0</v>
      </c>
      <c r="T31" s="37"/>
      <c r="U31" s="38">
        <v>0.0</v>
      </c>
      <c r="V31" s="39">
        <v>136790.0</v>
      </c>
      <c r="W31" s="40">
        <f t="shared" si="1"/>
        <v>0.06841718461</v>
      </c>
    </row>
    <row r="32" ht="15.0" customHeight="1">
      <c r="A32" s="35">
        <v>134.0</v>
      </c>
      <c r="B32" s="25" t="s">
        <v>49</v>
      </c>
      <c r="C32" s="36">
        <v>42325.0</v>
      </c>
      <c r="D32" s="36">
        <v>47500.0</v>
      </c>
      <c r="E32" s="36">
        <v>123000.0</v>
      </c>
      <c r="F32" s="36"/>
      <c r="G32" s="36">
        <v>1000.0</v>
      </c>
      <c r="H32" s="36">
        <v>1000.0</v>
      </c>
      <c r="I32" s="36">
        <v>25000.0</v>
      </c>
      <c r="J32" s="36">
        <v>11000.0</v>
      </c>
      <c r="K32" s="36"/>
      <c r="L32" s="37">
        <v>28000.0</v>
      </c>
      <c r="M32" s="37">
        <v>3000.0</v>
      </c>
      <c r="N32" s="37">
        <v>1000.0</v>
      </c>
      <c r="O32" s="37">
        <v>5000.0</v>
      </c>
      <c r="P32" s="37">
        <v>5000.0</v>
      </c>
      <c r="Q32" s="37"/>
      <c r="R32" s="37">
        <v>1700.0</v>
      </c>
      <c r="S32" s="37">
        <v>29000.0</v>
      </c>
      <c r="T32" s="37"/>
      <c r="U32" s="38">
        <v>24100.0</v>
      </c>
      <c r="V32" s="39">
        <v>347625.0</v>
      </c>
      <c r="W32" s="40">
        <f t="shared" si="1"/>
        <v>0.1738688779</v>
      </c>
    </row>
    <row r="33" ht="15.0" customHeight="1">
      <c r="A33" s="35">
        <v>135.0</v>
      </c>
      <c r="B33" s="25" t="s">
        <v>50</v>
      </c>
      <c r="C33" s="36">
        <v>4500.0</v>
      </c>
      <c r="D33" s="36">
        <v>39000.0</v>
      </c>
      <c r="E33" s="36">
        <v>204275.0</v>
      </c>
      <c r="F33" s="36"/>
      <c r="G33" s="36">
        <v>1000.0</v>
      </c>
      <c r="H33" s="36">
        <v>193700.0</v>
      </c>
      <c r="I33" s="36">
        <v>21000.0</v>
      </c>
      <c r="J33" s="36">
        <v>2000.0</v>
      </c>
      <c r="K33" s="36"/>
      <c r="L33" s="37">
        <v>326000.0</v>
      </c>
      <c r="M33" s="37"/>
      <c r="N33" s="37">
        <v>300.0</v>
      </c>
      <c r="O33" s="37"/>
      <c r="P33" s="37"/>
      <c r="Q33" s="37"/>
      <c r="R33" s="37"/>
      <c r="S33" s="37">
        <v>4000.0</v>
      </c>
      <c r="T33" s="37"/>
      <c r="U33" s="38">
        <v>0.0</v>
      </c>
      <c r="V33" s="39">
        <v>795775.0</v>
      </c>
      <c r="W33" s="40">
        <f t="shared" si="1"/>
        <v>0.3980165589</v>
      </c>
    </row>
    <row r="34" ht="15.0" customHeight="1">
      <c r="A34" s="35">
        <v>136.0</v>
      </c>
      <c r="B34" s="25" t="s">
        <v>51</v>
      </c>
      <c r="C34" s="36">
        <v>552200.0</v>
      </c>
      <c r="D34" s="36">
        <v>600.0</v>
      </c>
      <c r="E34" s="36">
        <v>10200.0</v>
      </c>
      <c r="F34" s="36"/>
      <c r="G34" s="36"/>
      <c r="H34" s="36">
        <v>62095.0</v>
      </c>
      <c r="I34" s="36">
        <v>1000.0</v>
      </c>
      <c r="J34" s="36">
        <v>7450.0</v>
      </c>
      <c r="K34" s="36"/>
      <c r="L34" s="37"/>
      <c r="M34" s="37"/>
      <c r="N34" s="37">
        <v>1000.0</v>
      </c>
      <c r="O34" s="37"/>
      <c r="P34" s="37"/>
      <c r="Q34" s="37"/>
      <c r="R34" s="37"/>
      <c r="S34" s="37">
        <v>2000.0</v>
      </c>
      <c r="T34" s="37"/>
      <c r="U34" s="38">
        <v>5500.0</v>
      </c>
      <c r="V34" s="39">
        <v>642045.0</v>
      </c>
      <c r="W34" s="40">
        <f t="shared" si="1"/>
        <v>0.3211266269</v>
      </c>
    </row>
    <row r="35" ht="15.0" customHeight="1">
      <c r="A35" s="35">
        <v>137.0</v>
      </c>
      <c r="B35" s="25" t="s">
        <v>52</v>
      </c>
      <c r="C35" s="36">
        <v>507710.0</v>
      </c>
      <c r="D35" s="36"/>
      <c r="E35" s="36">
        <v>3000.0</v>
      </c>
      <c r="F35" s="36"/>
      <c r="G35" s="36"/>
      <c r="H35" s="36">
        <v>11105.0</v>
      </c>
      <c r="I35" s="36"/>
      <c r="J35" s="36">
        <v>50.0</v>
      </c>
      <c r="K35" s="36"/>
      <c r="L35" s="37"/>
      <c r="M35" s="37"/>
      <c r="N35" s="37"/>
      <c r="O35" s="37"/>
      <c r="P35" s="37"/>
      <c r="Q35" s="37"/>
      <c r="R35" s="37"/>
      <c r="S35" s="37">
        <v>1800.0</v>
      </c>
      <c r="T35" s="37"/>
      <c r="U35" s="38">
        <v>0.0</v>
      </c>
      <c r="V35" s="39">
        <v>523665.0</v>
      </c>
      <c r="W35" s="40">
        <f t="shared" si="1"/>
        <v>0.261917428</v>
      </c>
    </row>
    <row r="36" ht="15.0" customHeight="1">
      <c r="A36" s="35">
        <v>138.0</v>
      </c>
      <c r="B36" s="25" t="s">
        <v>53</v>
      </c>
      <c r="C36" s="36">
        <v>237205.0</v>
      </c>
      <c r="D36" s="36"/>
      <c r="E36" s="36"/>
      <c r="F36" s="36"/>
      <c r="G36" s="36"/>
      <c r="H36" s="36">
        <v>695.0</v>
      </c>
      <c r="I36" s="36"/>
      <c r="J36" s="36"/>
      <c r="K36" s="36"/>
      <c r="L36" s="37"/>
      <c r="M36" s="37"/>
      <c r="N36" s="37"/>
      <c r="O36" s="37"/>
      <c r="P36" s="37"/>
      <c r="Q36" s="37"/>
      <c r="R36" s="37"/>
      <c r="S36" s="37"/>
      <c r="T36" s="37"/>
      <c r="U36" s="38">
        <v>0.0</v>
      </c>
      <c r="V36" s="39">
        <v>237900.0</v>
      </c>
      <c r="W36" s="40">
        <f t="shared" si="1"/>
        <v>0.1189885826</v>
      </c>
    </row>
    <row r="37" ht="15.0" customHeight="1">
      <c r="A37" s="35">
        <v>139.0</v>
      </c>
      <c r="B37" s="25" t="s">
        <v>54</v>
      </c>
      <c r="C37" s="36">
        <v>218960.0</v>
      </c>
      <c r="D37" s="36"/>
      <c r="E37" s="36"/>
      <c r="F37" s="36"/>
      <c r="G37" s="36"/>
      <c r="H37" s="36">
        <v>47260.0</v>
      </c>
      <c r="I37" s="36"/>
      <c r="J37" s="36">
        <v>2300.0</v>
      </c>
      <c r="K37" s="36"/>
      <c r="L37" s="37"/>
      <c r="M37" s="37"/>
      <c r="N37" s="37"/>
      <c r="O37" s="37"/>
      <c r="P37" s="37"/>
      <c r="Q37" s="37"/>
      <c r="R37" s="37"/>
      <c r="S37" s="37"/>
      <c r="T37" s="37"/>
      <c r="U37" s="38">
        <v>0.0</v>
      </c>
      <c r="V37" s="39">
        <v>268520.0</v>
      </c>
      <c r="W37" s="40">
        <f t="shared" si="1"/>
        <v>0.1343035486</v>
      </c>
    </row>
    <row r="38" ht="15.0" customHeight="1">
      <c r="A38" s="35">
        <v>140.0</v>
      </c>
      <c r="B38" s="25" t="s">
        <v>55</v>
      </c>
      <c r="C38" s="36">
        <v>137675.0</v>
      </c>
      <c r="D38" s="36"/>
      <c r="E38" s="36"/>
      <c r="F38" s="36"/>
      <c r="G38" s="36"/>
      <c r="H38" s="36"/>
      <c r="I38" s="36"/>
      <c r="J38" s="36">
        <v>300.0</v>
      </c>
      <c r="K38" s="36"/>
      <c r="L38" s="37"/>
      <c r="M38" s="37">
        <v>3000.0</v>
      </c>
      <c r="N38" s="37"/>
      <c r="O38" s="37"/>
      <c r="P38" s="37"/>
      <c r="Q38" s="37"/>
      <c r="R38" s="37"/>
      <c r="S38" s="37"/>
      <c r="T38" s="37"/>
      <c r="U38" s="38">
        <v>0.0</v>
      </c>
      <c r="V38" s="39">
        <v>140975.0</v>
      </c>
      <c r="W38" s="40">
        <f t="shared" si="1"/>
        <v>0.07051036334</v>
      </c>
    </row>
    <row r="39" ht="15.0" customHeight="1">
      <c r="A39" s="35">
        <v>141.0</v>
      </c>
      <c r="B39" s="25" t="s">
        <v>56</v>
      </c>
      <c r="C39" s="36">
        <v>156310.0</v>
      </c>
      <c r="D39" s="36">
        <v>28950.0</v>
      </c>
      <c r="E39" s="36">
        <v>360900.0</v>
      </c>
      <c r="F39" s="36"/>
      <c r="G39" s="36">
        <v>1000.0</v>
      </c>
      <c r="H39" s="36">
        <v>2075.0</v>
      </c>
      <c r="I39" s="36">
        <v>34910.0</v>
      </c>
      <c r="J39" s="36">
        <v>45500.0</v>
      </c>
      <c r="K39" s="36"/>
      <c r="L39" s="37">
        <v>2500.0</v>
      </c>
      <c r="M39" s="37">
        <v>36000.0</v>
      </c>
      <c r="N39" s="37">
        <v>12900.0</v>
      </c>
      <c r="O39" s="37"/>
      <c r="P39" s="37">
        <v>45700.0</v>
      </c>
      <c r="Q39" s="37">
        <v>2000.0</v>
      </c>
      <c r="R39" s="37"/>
      <c r="S39" s="37">
        <v>206700.0</v>
      </c>
      <c r="T39" s="37"/>
      <c r="U39" s="38">
        <v>14500.0</v>
      </c>
      <c r="V39" s="39">
        <v>949945.0</v>
      </c>
      <c r="W39" s="40">
        <f t="shared" si="1"/>
        <v>0.4751265622</v>
      </c>
    </row>
    <row r="40" ht="15.0" customHeight="1">
      <c r="A40" s="35">
        <v>142.0</v>
      </c>
      <c r="B40" s="25" t="s">
        <v>57</v>
      </c>
      <c r="C40" s="36"/>
      <c r="D40" s="36">
        <v>21830.0</v>
      </c>
      <c r="E40" s="36">
        <v>7500.0</v>
      </c>
      <c r="F40" s="36"/>
      <c r="G40" s="36"/>
      <c r="H40" s="36">
        <v>3250.0</v>
      </c>
      <c r="I40" s="36">
        <v>53500.0</v>
      </c>
      <c r="J40" s="36">
        <v>9500.0</v>
      </c>
      <c r="K40" s="36"/>
      <c r="L40" s="37">
        <v>3250.0</v>
      </c>
      <c r="M40" s="37">
        <v>9000.0</v>
      </c>
      <c r="N40" s="37"/>
      <c r="O40" s="37"/>
      <c r="P40" s="37"/>
      <c r="Q40" s="37">
        <v>8250.0</v>
      </c>
      <c r="R40" s="37"/>
      <c r="S40" s="37"/>
      <c r="T40" s="37"/>
      <c r="U40" s="38">
        <v>54200.0</v>
      </c>
      <c r="V40" s="39">
        <v>170280.0</v>
      </c>
      <c r="W40" s="40">
        <f t="shared" si="1"/>
        <v>0.08516761603</v>
      </c>
    </row>
    <row r="41" ht="15.0" customHeight="1">
      <c r="A41" s="35">
        <v>143.0</v>
      </c>
      <c r="B41" s="25" t="s">
        <v>58</v>
      </c>
      <c r="C41" s="36"/>
      <c r="D41" s="36">
        <v>99900.0</v>
      </c>
      <c r="E41" s="36">
        <v>50640.0</v>
      </c>
      <c r="F41" s="36">
        <v>1000.0</v>
      </c>
      <c r="G41" s="36">
        <v>11000.0</v>
      </c>
      <c r="H41" s="36">
        <v>1000.0</v>
      </c>
      <c r="I41" s="36">
        <v>4500.0</v>
      </c>
      <c r="J41" s="36"/>
      <c r="K41" s="36"/>
      <c r="L41" s="37">
        <v>4000.0</v>
      </c>
      <c r="M41" s="37">
        <v>4000.0</v>
      </c>
      <c r="N41" s="37">
        <v>2000.0</v>
      </c>
      <c r="O41" s="37"/>
      <c r="P41" s="37">
        <v>1357320.0</v>
      </c>
      <c r="Q41" s="37">
        <v>4000.0</v>
      </c>
      <c r="R41" s="37">
        <v>2000.0</v>
      </c>
      <c r="S41" s="37">
        <v>4000.0</v>
      </c>
      <c r="T41" s="37"/>
      <c r="U41" s="38">
        <v>31000.0</v>
      </c>
      <c r="V41" s="39">
        <v>1576360.0</v>
      </c>
      <c r="W41" s="40">
        <f t="shared" si="1"/>
        <v>0.7884356542</v>
      </c>
    </row>
    <row r="42" ht="15.0" customHeight="1">
      <c r="A42" s="35">
        <v>144.0</v>
      </c>
      <c r="B42" s="25" t="s">
        <v>59</v>
      </c>
      <c r="C42" s="36">
        <v>850.0</v>
      </c>
      <c r="D42" s="36"/>
      <c r="E42" s="36">
        <v>400.0</v>
      </c>
      <c r="F42" s="36"/>
      <c r="G42" s="36"/>
      <c r="H42" s="36">
        <v>173095.0</v>
      </c>
      <c r="I42" s="36"/>
      <c r="J42" s="36">
        <v>63520.0</v>
      </c>
      <c r="K42" s="36"/>
      <c r="L42" s="37">
        <v>3000.0</v>
      </c>
      <c r="M42" s="37">
        <v>34055.0</v>
      </c>
      <c r="N42" s="37"/>
      <c r="O42" s="37"/>
      <c r="P42" s="37"/>
      <c r="Q42" s="37"/>
      <c r="R42" s="37"/>
      <c r="S42" s="37"/>
      <c r="T42" s="37"/>
      <c r="U42" s="38">
        <v>250.0</v>
      </c>
      <c r="V42" s="39">
        <v>275170.0</v>
      </c>
      <c r="W42" s="40">
        <f t="shared" si="1"/>
        <v>0.1376296271</v>
      </c>
    </row>
    <row r="43" ht="15.0" customHeight="1">
      <c r="A43" s="35">
        <v>201.0</v>
      </c>
      <c r="B43" s="25" t="s">
        <v>60</v>
      </c>
      <c r="C43" s="36">
        <v>40945.0</v>
      </c>
      <c r="D43" s="36"/>
      <c r="E43" s="36"/>
      <c r="F43" s="36"/>
      <c r="G43" s="36"/>
      <c r="H43" s="36">
        <v>14095.0</v>
      </c>
      <c r="I43" s="36"/>
      <c r="J43" s="36">
        <v>10.0</v>
      </c>
      <c r="K43" s="36"/>
      <c r="L43" s="37"/>
      <c r="M43" s="37"/>
      <c r="N43" s="37"/>
      <c r="O43" s="37"/>
      <c r="P43" s="37"/>
      <c r="Q43" s="37"/>
      <c r="R43" s="37"/>
      <c r="S43" s="37"/>
      <c r="T43" s="37"/>
      <c r="U43" s="38">
        <v>0.0</v>
      </c>
      <c r="V43" s="39">
        <v>55050.0</v>
      </c>
      <c r="W43" s="40">
        <f t="shared" si="1"/>
        <v>0.02753392801</v>
      </c>
    </row>
    <row r="44" ht="15.0" customHeight="1">
      <c r="A44" s="35">
        <v>202.0</v>
      </c>
      <c r="B44" s="25" t="s">
        <v>61</v>
      </c>
      <c r="C44" s="36"/>
      <c r="D44" s="36"/>
      <c r="E44" s="36"/>
      <c r="F44" s="36"/>
      <c r="G44" s="36">
        <v>15000.0</v>
      </c>
      <c r="H44" s="36">
        <v>500.0</v>
      </c>
      <c r="I44" s="36"/>
      <c r="J44" s="36"/>
      <c r="K44" s="36"/>
      <c r="L44" s="37"/>
      <c r="M44" s="37"/>
      <c r="N44" s="37">
        <v>4000.0</v>
      </c>
      <c r="O44" s="37"/>
      <c r="P44" s="37"/>
      <c r="Q44" s="37">
        <v>50000.0</v>
      </c>
      <c r="R44" s="37">
        <v>18000.0</v>
      </c>
      <c r="S44" s="37">
        <v>3500.0</v>
      </c>
      <c r="T44" s="37"/>
      <c r="U44" s="38">
        <v>50000.0</v>
      </c>
      <c r="V44" s="39">
        <v>141000.0</v>
      </c>
      <c r="W44" s="40">
        <f t="shared" si="1"/>
        <v>0.07052286739</v>
      </c>
    </row>
    <row r="45" ht="15.0" customHeight="1">
      <c r="A45" s="35">
        <v>203.0</v>
      </c>
      <c r="B45" s="25" t="s">
        <v>62</v>
      </c>
      <c r="C45" s="36">
        <v>120330.0</v>
      </c>
      <c r="D45" s="36">
        <v>56159.0</v>
      </c>
      <c r="E45" s="36">
        <v>3500.0</v>
      </c>
      <c r="F45" s="36"/>
      <c r="G45" s="36">
        <v>1750.0</v>
      </c>
      <c r="H45" s="36">
        <v>31835.0</v>
      </c>
      <c r="I45" s="36">
        <v>1000.0</v>
      </c>
      <c r="J45" s="36">
        <v>2100.0</v>
      </c>
      <c r="K45" s="36"/>
      <c r="L45" s="37"/>
      <c r="M45" s="37"/>
      <c r="N45" s="37"/>
      <c r="O45" s="37"/>
      <c r="P45" s="37"/>
      <c r="Q45" s="37"/>
      <c r="R45" s="37"/>
      <c r="S45" s="37"/>
      <c r="T45" s="37"/>
      <c r="U45" s="38">
        <v>0.0</v>
      </c>
      <c r="V45" s="39">
        <v>216674.0</v>
      </c>
      <c r="W45" s="40">
        <f t="shared" si="1"/>
        <v>0.1083721402</v>
      </c>
    </row>
    <row r="46" ht="15.0" customHeight="1">
      <c r="A46" s="35">
        <v>204.0</v>
      </c>
      <c r="B46" s="25" t="s">
        <v>63</v>
      </c>
      <c r="C46" s="36">
        <v>30150.0</v>
      </c>
      <c r="D46" s="36">
        <v>70.0</v>
      </c>
      <c r="E46" s="36"/>
      <c r="F46" s="36"/>
      <c r="G46" s="36"/>
      <c r="H46" s="36">
        <v>2885.0</v>
      </c>
      <c r="I46" s="36"/>
      <c r="J46" s="36"/>
      <c r="K46" s="36"/>
      <c r="L46" s="37"/>
      <c r="M46" s="37"/>
      <c r="N46" s="37"/>
      <c r="O46" s="37"/>
      <c r="P46" s="37"/>
      <c r="Q46" s="37"/>
      <c r="R46" s="37"/>
      <c r="S46" s="37"/>
      <c r="T46" s="37"/>
      <c r="U46" s="38">
        <v>0.0</v>
      </c>
      <c r="V46" s="39">
        <v>33105.0</v>
      </c>
      <c r="W46" s="40">
        <f t="shared" si="1"/>
        <v>0.01655786897</v>
      </c>
    </row>
    <row r="47" ht="15.0" customHeight="1">
      <c r="A47" s="35">
        <v>205.0</v>
      </c>
      <c r="B47" s="25" t="s">
        <v>64</v>
      </c>
      <c r="C47" s="36"/>
      <c r="D47" s="36"/>
      <c r="E47" s="36"/>
      <c r="F47" s="36"/>
      <c r="G47" s="36"/>
      <c r="H47" s="36"/>
      <c r="I47" s="36"/>
      <c r="J47" s="36"/>
      <c r="K47" s="36"/>
      <c r="L47" s="37"/>
      <c r="M47" s="37"/>
      <c r="N47" s="37">
        <v>3500.0</v>
      </c>
      <c r="O47" s="37"/>
      <c r="P47" s="37"/>
      <c r="Q47" s="37"/>
      <c r="R47" s="37"/>
      <c r="S47" s="37">
        <v>3000.0</v>
      </c>
      <c r="T47" s="37"/>
      <c r="U47" s="38">
        <v>0.0</v>
      </c>
      <c r="V47" s="39">
        <v>6500.0</v>
      </c>
      <c r="W47" s="40">
        <f t="shared" si="1"/>
        <v>0.003251054171</v>
      </c>
    </row>
    <row r="48" ht="15.0" customHeight="1">
      <c r="A48" s="35">
        <v>206.0</v>
      </c>
      <c r="B48" s="25" t="s">
        <v>65</v>
      </c>
      <c r="C48" s="36">
        <v>1000.0</v>
      </c>
      <c r="D48" s="36">
        <v>4200.0</v>
      </c>
      <c r="E48" s="36">
        <v>67600.0</v>
      </c>
      <c r="F48" s="36"/>
      <c r="G48" s="36"/>
      <c r="H48" s="36">
        <v>590.0</v>
      </c>
      <c r="I48" s="36">
        <v>50.0</v>
      </c>
      <c r="J48" s="36"/>
      <c r="K48" s="36"/>
      <c r="L48" s="37"/>
      <c r="M48" s="37"/>
      <c r="N48" s="37"/>
      <c r="O48" s="37"/>
      <c r="P48" s="37"/>
      <c r="Q48" s="37"/>
      <c r="R48" s="37"/>
      <c r="S48" s="37"/>
      <c r="T48" s="37"/>
      <c r="U48" s="38">
        <v>0.0</v>
      </c>
      <c r="V48" s="39">
        <v>73440.0</v>
      </c>
      <c r="W48" s="40">
        <f t="shared" si="1"/>
        <v>0.03673191051</v>
      </c>
    </row>
    <row r="49" ht="15.0" customHeight="1">
      <c r="A49" s="35">
        <v>207.0</v>
      </c>
      <c r="B49" s="25" t="s">
        <v>66</v>
      </c>
      <c r="C49" s="36">
        <v>26150.0</v>
      </c>
      <c r="D49" s="36">
        <v>349.0</v>
      </c>
      <c r="E49" s="36">
        <v>2000.0</v>
      </c>
      <c r="F49" s="36"/>
      <c r="G49" s="36"/>
      <c r="H49" s="36">
        <v>1380.0</v>
      </c>
      <c r="I49" s="36"/>
      <c r="J49" s="36">
        <v>50.0</v>
      </c>
      <c r="K49" s="36"/>
      <c r="L49" s="37"/>
      <c r="M49" s="37"/>
      <c r="N49" s="37"/>
      <c r="O49" s="37"/>
      <c r="P49" s="37"/>
      <c r="Q49" s="37"/>
      <c r="R49" s="37"/>
      <c r="S49" s="37"/>
      <c r="T49" s="37"/>
      <c r="U49" s="38">
        <v>0.0</v>
      </c>
      <c r="V49" s="39">
        <v>29929.0</v>
      </c>
      <c r="W49" s="40">
        <f t="shared" si="1"/>
        <v>0.01496935389</v>
      </c>
    </row>
    <row r="50" ht="15.0" customHeight="1">
      <c r="A50" s="35">
        <v>208.0</v>
      </c>
      <c r="B50" s="25" t="s">
        <v>67</v>
      </c>
      <c r="C50" s="36">
        <v>45245.0</v>
      </c>
      <c r="D50" s="36"/>
      <c r="E50" s="36"/>
      <c r="F50" s="36"/>
      <c r="G50" s="36"/>
      <c r="H50" s="36">
        <v>4390.0</v>
      </c>
      <c r="I50" s="36"/>
      <c r="J50" s="36">
        <v>50.0</v>
      </c>
      <c r="K50" s="36"/>
      <c r="L50" s="37"/>
      <c r="M50" s="37"/>
      <c r="N50" s="37"/>
      <c r="O50" s="37"/>
      <c r="P50" s="37"/>
      <c r="Q50" s="37"/>
      <c r="R50" s="37"/>
      <c r="S50" s="37"/>
      <c r="T50" s="37"/>
      <c r="U50" s="38">
        <v>0.0</v>
      </c>
      <c r="V50" s="39">
        <v>49685.0</v>
      </c>
      <c r="W50" s="40">
        <f t="shared" si="1"/>
        <v>0.02485055792</v>
      </c>
    </row>
    <row r="51" ht="15.0" customHeight="1">
      <c r="A51" s="35">
        <v>209.0</v>
      </c>
      <c r="B51" s="25" t="s">
        <v>68</v>
      </c>
      <c r="C51" s="36">
        <v>7035.0</v>
      </c>
      <c r="D51" s="36"/>
      <c r="E51" s="36"/>
      <c r="F51" s="36"/>
      <c r="G51" s="36"/>
      <c r="H51" s="36">
        <v>3070.0</v>
      </c>
      <c r="I51" s="36"/>
      <c r="J51" s="36"/>
      <c r="K51" s="36"/>
      <c r="L51" s="37"/>
      <c r="M51" s="37"/>
      <c r="N51" s="37"/>
      <c r="O51" s="37"/>
      <c r="P51" s="37"/>
      <c r="Q51" s="37"/>
      <c r="R51" s="37"/>
      <c r="S51" s="37"/>
      <c r="T51" s="37"/>
      <c r="U51" s="38">
        <v>0.0</v>
      </c>
      <c r="V51" s="39">
        <v>10105.0</v>
      </c>
      <c r="W51" s="40">
        <f t="shared" si="1"/>
        <v>0.00505413883</v>
      </c>
    </row>
    <row r="52" ht="15.0" customHeight="1">
      <c r="A52" s="35">
        <v>210.0</v>
      </c>
      <c r="B52" s="25" t="s">
        <v>69</v>
      </c>
      <c r="C52" s="36">
        <v>19725.0</v>
      </c>
      <c r="D52" s="36"/>
      <c r="E52" s="36"/>
      <c r="F52" s="36"/>
      <c r="G52" s="36"/>
      <c r="H52" s="36">
        <v>890.0</v>
      </c>
      <c r="I52" s="36"/>
      <c r="J52" s="36">
        <v>5.0</v>
      </c>
      <c r="K52" s="36"/>
      <c r="L52" s="37"/>
      <c r="M52" s="37"/>
      <c r="N52" s="37"/>
      <c r="O52" s="37"/>
      <c r="P52" s="37"/>
      <c r="Q52" s="37"/>
      <c r="R52" s="37"/>
      <c r="S52" s="37"/>
      <c r="T52" s="37"/>
      <c r="U52" s="38">
        <v>0.0</v>
      </c>
      <c r="V52" s="39">
        <v>20620.0</v>
      </c>
      <c r="W52" s="40">
        <f t="shared" si="1"/>
        <v>0.01031334415</v>
      </c>
    </row>
    <row r="53" ht="15.0" customHeight="1">
      <c r="A53" s="35">
        <v>211.0</v>
      </c>
      <c r="B53" s="25" t="s">
        <v>70</v>
      </c>
      <c r="C53" s="36">
        <v>24335.0</v>
      </c>
      <c r="D53" s="36"/>
      <c r="E53" s="36"/>
      <c r="F53" s="36"/>
      <c r="G53" s="36"/>
      <c r="H53" s="36">
        <v>25.0</v>
      </c>
      <c r="I53" s="36"/>
      <c r="J53" s="36"/>
      <c r="K53" s="36"/>
      <c r="L53" s="37"/>
      <c r="M53" s="37"/>
      <c r="N53" s="37"/>
      <c r="O53" s="37"/>
      <c r="P53" s="37"/>
      <c r="Q53" s="37"/>
      <c r="R53" s="37"/>
      <c r="S53" s="37"/>
      <c r="T53" s="37"/>
      <c r="U53" s="38">
        <v>0.0</v>
      </c>
      <c r="V53" s="39">
        <v>24360.0</v>
      </c>
      <c r="W53" s="40">
        <f t="shared" si="1"/>
        <v>0.01218395071</v>
      </c>
    </row>
    <row r="54" ht="15.0" customHeight="1">
      <c r="A54" s="35">
        <v>212.0</v>
      </c>
      <c r="B54" s="25" t="s">
        <v>71</v>
      </c>
      <c r="C54" s="36">
        <v>130960.0</v>
      </c>
      <c r="D54" s="36"/>
      <c r="E54" s="36"/>
      <c r="F54" s="36"/>
      <c r="G54" s="36"/>
      <c r="H54" s="36">
        <v>845.0</v>
      </c>
      <c r="I54" s="36"/>
      <c r="J54" s="36"/>
      <c r="K54" s="36"/>
      <c r="L54" s="37"/>
      <c r="M54" s="37"/>
      <c r="N54" s="37"/>
      <c r="O54" s="37"/>
      <c r="P54" s="37"/>
      <c r="Q54" s="37"/>
      <c r="R54" s="37"/>
      <c r="S54" s="37"/>
      <c r="T54" s="37"/>
      <c r="U54" s="38">
        <v>0.0</v>
      </c>
      <c r="V54" s="39">
        <v>131805.0</v>
      </c>
      <c r="W54" s="40">
        <f t="shared" si="1"/>
        <v>0.06592387615</v>
      </c>
    </row>
    <row r="55" ht="15.0" customHeight="1">
      <c r="A55" s="35">
        <v>213.0</v>
      </c>
      <c r="B55" s="25" t="s">
        <v>72</v>
      </c>
      <c r="C55" s="36">
        <v>19530.0</v>
      </c>
      <c r="D55" s="36"/>
      <c r="E55" s="36"/>
      <c r="F55" s="36"/>
      <c r="G55" s="36"/>
      <c r="H55" s="36">
        <v>55.0</v>
      </c>
      <c r="I55" s="36"/>
      <c r="J55" s="36"/>
      <c r="K55" s="36"/>
      <c r="L55" s="37"/>
      <c r="M55" s="37"/>
      <c r="N55" s="37"/>
      <c r="O55" s="37"/>
      <c r="P55" s="37"/>
      <c r="Q55" s="37"/>
      <c r="R55" s="37"/>
      <c r="S55" s="37"/>
      <c r="T55" s="37"/>
      <c r="U55" s="38">
        <v>20.0</v>
      </c>
      <c r="V55" s="39">
        <v>19605.0</v>
      </c>
      <c r="W55" s="40">
        <f t="shared" si="1"/>
        <v>0.009805679541</v>
      </c>
    </row>
    <row r="56" ht="15.0" customHeight="1">
      <c r="A56" s="35">
        <v>214.0</v>
      </c>
      <c r="B56" s="25" t="s">
        <v>73</v>
      </c>
      <c r="C56" s="36">
        <v>69275.0</v>
      </c>
      <c r="D56" s="36"/>
      <c r="E56" s="36"/>
      <c r="F56" s="36"/>
      <c r="G56" s="36"/>
      <c r="H56" s="36">
        <v>6915.0</v>
      </c>
      <c r="I56" s="36"/>
      <c r="J56" s="36">
        <v>125.0</v>
      </c>
      <c r="K56" s="36"/>
      <c r="L56" s="37"/>
      <c r="M56" s="37"/>
      <c r="N56" s="37"/>
      <c r="O56" s="37"/>
      <c r="P56" s="37"/>
      <c r="Q56" s="37"/>
      <c r="R56" s="37"/>
      <c r="S56" s="37"/>
      <c r="T56" s="37"/>
      <c r="U56" s="38">
        <v>0.0</v>
      </c>
      <c r="V56" s="39">
        <v>76315.0</v>
      </c>
      <c r="W56" s="40">
        <f t="shared" si="1"/>
        <v>0.03816987677</v>
      </c>
    </row>
    <row r="57" ht="15.0" customHeight="1">
      <c r="A57" s="35">
        <v>217.0</v>
      </c>
      <c r="B57" s="25" t="s">
        <v>74</v>
      </c>
      <c r="C57" s="36"/>
      <c r="D57" s="36"/>
      <c r="E57" s="36"/>
      <c r="F57" s="36"/>
      <c r="G57" s="36"/>
      <c r="H57" s="36"/>
      <c r="I57" s="36"/>
      <c r="J57" s="36"/>
      <c r="K57" s="36"/>
      <c r="L57" s="37"/>
      <c r="M57" s="37"/>
      <c r="N57" s="37"/>
      <c r="O57" s="37"/>
      <c r="P57" s="37"/>
      <c r="Q57" s="37"/>
      <c r="R57" s="37"/>
      <c r="S57" s="37">
        <v>24500.0</v>
      </c>
      <c r="T57" s="37"/>
      <c r="U57" s="38">
        <v>38500.0</v>
      </c>
      <c r="V57" s="39">
        <v>63000.0</v>
      </c>
      <c r="W57" s="40">
        <f t="shared" si="1"/>
        <v>0.03151021735</v>
      </c>
    </row>
    <row r="58" ht="15.0" customHeight="1">
      <c r="A58" s="35">
        <v>218.0</v>
      </c>
      <c r="B58" s="25" t="s">
        <v>75</v>
      </c>
      <c r="C58" s="36"/>
      <c r="D58" s="36">
        <v>3000.0</v>
      </c>
      <c r="E58" s="36"/>
      <c r="F58" s="36"/>
      <c r="G58" s="36">
        <v>2000.0</v>
      </c>
      <c r="H58" s="36"/>
      <c r="I58" s="36"/>
      <c r="J58" s="36"/>
      <c r="K58" s="36"/>
      <c r="L58" s="37">
        <v>1000.0</v>
      </c>
      <c r="M58" s="37"/>
      <c r="N58" s="37"/>
      <c r="O58" s="37"/>
      <c r="P58" s="37">
        <v>41800.0</v>
      </c>
      <c r="Q58" s="37"/>
      <c r="R58" s="37"/>
      <c r="S58" s="37">
        <v>2500.0</v>
      </c>
      <c r="T58" s="37"/>
      <c r="U58" s="38">
        <v>2000.0</v>
      </c>
      <c r="V58" s="39">
        <v>52300.0</v>
      </c>
      <c r="W58" s="40">
        <f t="shared" si="1"/>
        <v>0.02615848202</v>
      </c>
    </row>
    <row r="59" ht="15.0" customHeight="1">
      <c r="A59" s="35">
        <v>220.0</v>
      </c>
      <c r="B59" s="25" t="s">
        <v>76</v>
      </c>
      <c r="C59" s="36">
        <v>415.0</v>
      </c>
      <c r="D59" s="36"/>
      <c r="E59" s="36"/>
      <c r="F59" s="36"/>
      <c r="G59" s="36"/>
      <c r="H59" s="36">
        <v>44605.0</v>
      </c>
      <c r="I59" s="36"/>
      <c r="J59" s="36">
        <v>28450.0</v>
      </c>
      <c r="K59" s="36"/>
      <c r="L59" s="37"/>
      <c r="M59" s="37"/>
      <c r="N59" s="37"/>
      <c r="O59" s="37"/>
      <c r="P59" s="37"/>
      <c r="Q59" s="37"/>
      <c r="R59" s="37"/>
      <c r="S59" s="37"/>
      <c r="T59" s="37"/>
      <c r="U59" s="38">
        <v>100.0</v>
      </c>
      <c r="V59" s="39">
        <v>73570.0</v>
      </c>
      <c r="W59" s="40">
        <f t="shared" si="1"/>
        <v>0.03679693159</v>
      </c>
    </row>
    <row r="60" ht="15.0" customHeight="1">
      <c r="A60" s="35">
        <v>302.0</v>
      </c>
      <c r="B60" s="25" t="s">
        <v>77</v>
      </c>
      <c r="C60" s="36"/>
      <c r="D60" s="36"/>
      <c r="E60" s="36"/>
      <c r="F60" s="36"/>
      <c r="G60" s="36"/>
      <c r="H60" s="36"/>
      <c r="I60" s="36"/>
      <c r="J60" s="36"/>
      <c r="K60" s="36"/>
      <c r="L60" s="37"/>
      <c r="M60" s="37"/>
      <c r="N60" s="37"/>
      <c r="O60" s="37"/>
      <c r="P60" s="37"/>
      <c r="Q60" s="37"/>
      <c r="R60" s="37"/>
      <c r="S60" s="37">
        <v>10400.0</v>
      </c>
      <c r="T60" s="37">
        <v>1347676.0</v>
      </c>
      <c r="U60" s="38">
        <v>0.0</v>
      </c>
      <c r="V60" s="39">
        <v>1358076.0</v>
      </c>
      <c r="W60" s="40">
        <f t="shared" si="1"/>
        <v>0.6792582529</v>
      </c>
    </row>
    <row r="61" ht="15.0" customHeight="1">
      <c r="A61" s="35">
        <v>303.0</v>
      </c>
      <c r="B61" s="25" t="s">
        <v>78</v>
      </c>
      <c r="C61" s="36"/>
      <c r="D61" s="36">
        <v>500.0</v>
      </c>
      <c r="E61" s="36"/>
      <c r="F61" s="36"/>
      <c r="G61" s="36"/>
      <c r="H61" s="36"/>
      <c r="I61" s="36"/>
      <c r="J61" s="36">
        <v>1000.0</v>
      </c>
      <c r="K61" s="36"/>
      <c r="L61" s="37"/>
      <c r="M61" s="37"/>
      <c r="N61" s="37"/>
      <c r="O61" s="37"/>
      <c r="P61" s="37"/>
      <c r="Q61" s="37"/>
      <c r="R61" s="37"/>
      <c r="S61" s="37">
        <v>487724.0</v>
      </c>
      <c r="T61" s="37">
        <v>4070.0</v>
      </c>
      <c r="U61" s="38">
        <v>4650.0</v>
      </c>
      <c r="V61" s="39">
        <v>497944.0</v>
      </c>
      <c r="W61" s="40">
        <f t="shared" si="1"/>
        <v>0.2490527566</v>
      </c>
    </row>
    <row r="62" ht="15.0" customHeight="1">
      <c r="A62" s="35">
        <v>304.0</v>
      </c>
      <c r="B62" s="25" t="s">
        <v>80</v>
      </c>
      <c r="C62" s="36"/>
      <c r="D62" s="36">
        <v>4000.0</v>
      </c>
      <c r="E62" s="36"/>
      <c r="F62" s="36"/>
      <c r="G62" s="36"/>
      <c r="H62" s="36">
        <v>5000.0</v>
      </c>
      <c r="I62" s="36"/>
      <c r="J62" s="36"/>
      <c r="K62" s="36"/>
      <c r="L62" s="37"/>
      <c r="M62" s="37"/>
      <c r="N62" s="37">
        <v>300.0</v>
      </c>
      <c r="O62" s="37"/>
      <c r="P62" s="37">
        <v>5000.0</v>
      </c>
      <c r="Q62" s="37"/>
      <c r="R62" s="37"/>
      <c r="S62" s="37">
        <v>1986300.0</v>
      </c>
      <c r="T62" s="37">
        <v>1000.0</v>
      </c>
      <c r="U62" s="38">
        <v>2000.0</v>
      </c>
      <c r="V62" s="39">
        <v>2003600.0</v>
      </c>
      <c r="W62" s="40">
        <f t="shared" si="1"/>
        <v>1.002124944</v>
      </c>
    </row>
    <row r="63" ht="15.0" customHeight="1">
      <c r="A63" s="35">
        <v>305.0</v>
      </c>
      <c r="B63" s="25" t="s">
        <v>82</v>
      </c>
      <c r="C63" s="36"/>
      <c r="D63" s="36"/>
      <c r="E63" s="36"/>
      <c r="F63" s="36"/>
      <c r="G63" s="36"/>
      <c r="H63" s="36"/>
      <c r="I63" s="36">
        <v>5500.0</v>
      </c>
      <c r="J63" s="36"/>
      <c r="K63" s="36"/>
      <c r="L63" s="37"/>
      <c r="M63" s="37"/>
      <c r="N63" s="37">
        <v>2000.0</v>
      </c>
      <c r="O63" s="37"/>
      <c r="P63" s="37"/>
      <c r="Q63" s="37"/>
      <c r="R63" s="37">
        <v>3000.0</v>
      </c>
      <c r="S63" s="37">
        <v>104922.0</v>
      </c>
      <c r="T63" s="37">
        <v>25.0</v>
      </c>
      <c r="U63" s="38">
        <v>7400.0</v>
      </c>
      <c r="V63" s="39">
        <v>122847.0</v>
      </c>
      <c r="W63" s="40">
        <f t="shared" si="1"/>
        <v>0.06144342334</v>
      </c>
    </row>
    <row r="64" ht="15.0" customHeight="1">
      <c r="A64" s="35">
        <v>306.0</v>
      </c>
      <c r="B64" s="25" t="s">
        <v>83</v>
      </c>
      <c r="C64" s="36"/>
      <c r="D64" s="36">
        <v>38000.0</v>
      </c>
      <c r="E64" s="36">
        <v>8000.0</v>
      </c>
      <c r="F64" s="36"/>
      <c r="G64" s="36"/>
      <c r="H64" s="36"/>
      <c r="I64" s="36">
        <v>4000.0</v>
      </c>
      <c r="J64" s="36"/>
      <c r="K64" s="36"/>
      <c r="L64" s="37">
        <v>1000.0</v>
      </c>
      <c r="M64" s="37"/>
      <c r="N64" s="37">
        <v>2000.0</v>
      </c>
      <c r="O64" s="37"/>
      <c r="P64" s="37"/>
      <c r="Q64" s="37"/>
      <c r="R64" s="37"/>
      <c r="S64" s="37">
        <v>1819785.0</v>
      </c>
      <c r="T64" s="37"/>
      <c r="U64" s="38">
        <v>98600.0</v>
      </c>
      <c r="V64" s="39">
        <v>1971385.0</v>
      </c>
      <c r="W64" s="40">
        <f t="shared" si="1"/>
        <v>0.9860122194</v>
      </c>
    </row>
    <row r="65" ht="15.0" customHeight="1">
      <c r="A65" s="35">
        <v>307.0</v>
      </c>
      <c r="B65" s="25" t="s">
        <v>84</v>
      </c>
      <c r="C65" s="36"/>
      <c r="D65" s="36"/>
      <c r="E65" s="36"/>
      <c r="F65" s="36"/>
      <c r="G65" s="36"/>
      <c r="H65" s="36"/>
      <c r="I65" s="36"/>
      <c r="J65" s="36"/>
      <c r="K65" s="36"/>
      <c r="L65" s="37"/>
      <c r="M65" s="37"/>
      <c r="N65" s="37"/>
      <c r="O65" s="37"/>
      <c r="P65" s="37"/>
      <c r="Q65" s="37"/>
      <c r="R65" s="37"/>
      <c r="S65" s="37">
        <v>204999.0</v>
      </c>
      <c r="T65" s="37"/>
      <c r="U65" s="38">
        <v>2200.0</v>
      </c>
      <c r="V65" s="39">
        <v>207199.0</v>
      </c>
      <c r="W65" s="40">
        <f t="shared" si="1"/>
        <v>0.1036331036</v>
      </c>
    </row>
    <row r="66" ht="15.0" customHeight="1">
      <c r="A66" s="35">
        <v>401.0</v>
      </c>
      <c r="B66" s="25" t="s">
        <v>85</v>
      </c>
      <c r="C66" s="36"/>
      <c r="D66" s="36"/>
      <c r="E66" s="36">
        <v>11500.0</v>
      </c>
      <c r="F66" s="36">
        <v>3127735.0</v>
      </c>
      <c r="G66" s="36"/>
      <c r="H66" s="36">
        <v>46000.0</v>
      </c>
      <c r="I66" s="36">
        <v>4118083.0</v>
      </c>
      <c r="J66" s="36">
        <v>13000.0</v>
      </c>
      <c r="K66" s="36">
        <v>1821508.0</v>
      </c>
      <c r="L66" s="37"/>
      <c r="M66" s="37"/>
      <c r="N66" s="37">
        <v>10000.0</v>
      </c>
      <c r="O66" s="37"/>
      <c r="P66" s="37"/>
      <c r="Q66" s="37"/>
      <c r="R66" s="37">
        <v>2093100.0</v>
      </c>
      <c r="S66" s="37">
        <v>605015.0</v>
      </c>
      <c r="T66" s="37">
        <v>6000.0</v>
      </c>
      <c r="U66" s="38">
        <v>1305060.0</v>
      </c>
      <c r="V66" s="39">
        <v>1.3157001E7</v>
      </c>
      <c r="W66" s="40">
        <f t="shared" si="1"/>
        <v>6.580634304</v>
      </c>
    </row>
    <row r="67" ht="15.0" customHeight="1">
      <c r="A67" s="35">
        <v>501.0</v>
      </c>
      <c r="B67" s="25" t="s">
        <v>86</v>
      </c>
      <c r="C67" s="36"/>
      <c r="D67" s="36"/>
      <c r="E67" s="36"/>
      <c r="F67" s="36"/>
      <c r="G67" s="36"/>
      <c r="H67" s="36"/>
      <c r="I67" s="36">
        <v>7000.0</v>
      </c>
      <c r="J67" s="36"/>
      <c r="K67" s="36"/>
      <c r="L67" s="37"/>
      <c r="M67" s="37"/>
      <c r="N67" s="37"/>
      <c r="O67" s="37"/>
      <c r="P67" s="37"/>
      <c r="Q67" s="37"/>
      <c r="R67" s="37">
        <v>5000.0</v>
      </c>
      <c r="S67" s="37">
        <v>5576715.0</v>
      </c>
      <c r="T67" s="37">
        <v>2000.0</v>
      </c>
      <c r="U67" s="38">
        <v>5000.0</v>
      </c>
      <c r="V67" s="39">
        <v>5595715.0</v>
      </c>
      <c r="W67" s="40">
        <f t="shared" si="1"/>
        <v>2.798765014</v>
      </c>
    </row>
    <row r="68" ht="15.0" customHeight="1">
      <c r="A68" s="35"/>
      <c r="B68" s="25" t="s">
        <v>87</v>
      </c>
      <c r="C68" s="36"/>
      <c r="D68" s="36"/>
      <c r="E68" s="36">
        <v>400.0</v>
      </c>
      <c r="F68" s="36">
        <v>10000.0</v>
      </c>
      <c r="G68" s="36"/>
      <c r="H68" s="36"/>
      <c r="I68" s="36">
        <v>2000.0</v>
      </c>
      <c r="J68" s="36"/>
      <c r="K68" s="36"/>
      <c r="L68" s="37"/>
      <c r="M68" s="37"/>
      <c r="N68" s="37"/>
      <c r="O68" s="37"/>
      <c r="P68" s="37"/>
      <c r="Q68" s="37"/>
      <c r="R68" s="37"/>
      <c r="S68" s="37">
        <v>276561.0</v>
      </c>
      <c r="T68" s="37">
        <v>1500.0</v>
      </c>
      <c r="U68" s="38">
        <v>248400.0</v>
      </c>
      <c r="V68" s="39">
        <v>538861.0</v>
      </c>
      <c r="W68" s="40">
        <f t="shared" si="1"/>
        <v>0.2695178925</v>
      </c>
    </row>
    <row r="69" ht="15.0" customHeight="1">
      <c r="A69" s="35"/>
      <c r="B69" s="25" t="s">
        <v>88</v>
      </c>
      <c r="C69" s="36"/>
      <c r="D69" s="36"/>
      <c r="E69" s="36"/>
      <c r="F69" s="36"/>
      <c r="G69" s="36"/>
      <c r="H69" s="36"/>
      <c r="I69" s="36"/>
      <c r="J69" s="36"/>
      <c r="K69" s="36"/>
      <c r="L69" s="37"/>
      <c r="M69" s="37"/>
      <c r="N69" s="37"/>
      <c r="O69" s="37"/>
      <c r="P69" s="37"/>
      <c r="Q69" s="37"/>
      <c r="R69" s="37"/>
      <c r="S69" s="37">
        <v>16600.0</v>
      </c>
      <c r="T69" s="37"/>
      <c r="U69" s="38">
        <v>56755.0</v>
      </c>
      <c r="V69" s="39">
        <v>73355.0</v>
      </c>
      <c r="W69" s="40">
        <f t="shared" si="1"/>
        <v>0.03668939672</v>
      </c>
    </row>
    <row r="70" ht="15.0" customHeight="1">
      <c r="A70" s="35"/>
      <c r="B70" s="25" t="s">
        <v>89</v>
      </c>
      <c r="C70" s="36"/>
      <c r="D70" s="36"/>
      <c r="E70" s="36">
        <v>1000.0</v>
      </c>
      <c r="F70" s="36"/>
      <c r="G70" s="36">
        <v>3000.0</v>
      </c>
      <c r="H70" s="36"/>
      <c r="I70" s="36"/>
      <c r="J70" s="36"/>
      <c r="K70" s="36"/>
      <c r="L70" s="37"/>
      <c r="M70" s="37"/>
      <c r="N70" s="37">
        <v>3000.0</v>
      </c>
      <c r="O70" s="37"/>
      <c r="P70" s="37">
        <v>1000.0</v>
      </c>
      <c r="Q70" s="37"/>
      <c r="R70" s="37"/>
      <c r="S70" s="37">
        <v>159770.0</v>
      </c>
      <c r="T70" s="37"/>
      <c r="U70" s="38">
        <v>4300.0</v>
      </c>
      <c r="V70" s="39">
        <v>172070.0</v>
      </c>
      <c r="W70" s="40">
        <f t="shared" si="1"/>
        <v>0.08606290633</v>
      </c>
    </row>
    <row r="71" ht="15.0" customHeight="1">
      <c r="A71" s="35"/>
      <c r="B71" s="25" t="s">
        <v>91</v>
      </c>
      <c r="C71" s="36">
        <v>239670.0</v>
      </c>
      <c r="D71" s="36">
        <v>205475.0</v>
      </c>
      <c r="E71" s="36">
        <v>1625080.0</v>
      </c>
      <c r="F71" s="36"/>
      <c r="G71" s="36">
        <v>159440.0</v>
      </c>
      <c r="H71" s="36">
        <v>847000.0</v>
      </c>
      <c r="I71" s="36">
        <v>730000.0</v>
      </c>
      <c r="J71" s="36">
        <v>471000.0</v>
      </c>
      <c r="K71" s="36"/>
      <c r="L71" s="37">
        <v>218200.0</v>
      </c>
      <c r="M71" s="37">
        <v>427000.0</v>
      </c>
      <c r="N71" s="37">
        <v>31200.0</v>
      </c>
      <c r="O71" s="37">
        <v>7800.0</v>
      </c>
      <c r="P71" s="37">
        <v>46000.0</v>
      </c>
      <c r="Q71" s="37">
        <v>4000.0</v>
      </c>
      <c r="R71" s="37">
        <v>5000.0</v>
      </c>
      <c r="S71" s="37">
        <v>212205.0</v>
      </c>
      <c r="T71" s="37"/>
      <c r="U71" s="38">
        <v>102800.0</v>
      </c>
      <c r="V71" s="39">
        <v>5331870.0</v>
      </c>
      <c r="W71" s="40">
        <f t="shared" si="1"/>
        <v>2.666799723</v>
      </c>
    </row>
    <row r="72" ht="15.0" customHeight="1">
      <c r="A72" s="35"/>
      <c r="B72" s="25" t="s">
        <v>92</v>
      </c>
      <c r="C72" s="36"/>
      <c r="D72" s="36">
        <v>175200.0</v>
      </c>
      <c r="E72" s="36">
        <v>58000.0</v>
      </c>
      <c r="F72" s="36"/>
      <c r="G72" s="36">
        <v>29000.0</v>
      </c>
      <c r="H72" s="36"/>
      <c r="I72" s="36">
        <v>47000.0</v>
      </c>
      <c r="J72" s="36">
        <v>2000.0</v>
      </c>
      <c r="K72" s="36"/>
      <c r="L72" s="37">
        <v>43000.0</v>
      </c>
      <c r="M72" s="37">
        <v>14000.0</v>
      </c>
      <c r="N72" s="37">
        <v>28500.0</v>
      </c>
      <c r="O72" s="37">
        <v>3000.0</v>
      </c>
      <c r="P72" s="37">
        <v>13000.0</v>
      </c>
      <c r="Q72" s="37"/>
      <c r="R72" s="37"/>
      <c r="S72" s="37">
        <v>352760.0</v>
      </c>
      <c r="T72" s="37"/>
      <c r="U72" s="38">
        <v>186500.0</v>
      </c>
      <c r="V72" s="39">
        <v>951960.0</v>
      </c>
      <c r="W72" s="40">
        <f t="shared" si="1"/>
        <v>0.476134389</v>
      </c>
    </row>
    <row r="73" ht="15.0" customHeight="1">
      <c r="A73" s="35"/>
      <c r="B73" s="25" t="s">
        <v>93</v>
      </c>
      <c r="C73" s="36"/>
      <c r="D73" s="36">
        <v>2000.0</v>
      </c>
      <c r="E73" s="36">
        <v>1000.0</v>
      </c>
      <c r="F73" s="36">
        <v>4000.0</v>
      </c>
      <c r="G73" s="36"/>
      <c r="H73" s="36"/>
      <c r="I73" s="36"/>
      <c r="J73" s="36"/>
      <c r="K73" s="36"/>
      <c r="L73" s="37"/>
      <c r="M73" s="37"/>
      <c r="N73" s="37"/>
      <c r="O73" s="37"/>
      <c r="P73" s="37"/>
      <c r="Q73" s="37"/>
      <c r="R73" s="37"/>
      <c r="S73" s="37"/>
      <c r="T73" s="37"/>
      <c r="U73" s="38">
        <v>14000.0</v>
      </c>
      <c r="V73" s="39">
        <v>21000.0</v>
      </c>
      <c r="W73" s="40">
        <f t="shared" si="1"/>
        <v>0.01050340578</v>
      </c>
    </row>
    <row r="74" ht="15.0" customHeight="1">
      <c r="A74" s="35"/>
      <c r="B74" s="25" t="s">
        <v>94</v>
      </c>
      <c r="C74" s="36"/>
      <c r="D74" s="36"/>
      <c r="E74" s="36"/>
      <c r="F74" s="36"/>
      <c r="G74" s="36"/>
      <c r="H74" s="36"/>
      <c r="I74" s="36"/>
      <c r="J74" s="36"/>
      <c r="K74" s="36"/>
      <c r="L74" s="37"/>
      <c r="M74" s="37"/>
      <c r="N74" s="37"/>
      <c r="O74" s="37"/>
      <c r="P74" s="37"/>
      <c r="Q74" s="37"/>
      <c r="R74" s="37"/>
      <c r="S74" s="37"/>
      <c r="T74" s="37"/>
      <c r="U74" s="38">
        <v>91000.0</v>
      </c>
      <c r="V74" s="39">
        <v>91000.0</v>
      </c>
      <c r="W74" s="40">
        <f t="shared" si="1"/>
        <v>0.04551475839</v>
      </c>
    </row>
    <row r="75" ht="15.0" customHeight="1">
      <c r="A75" s="35"/>
      <c r="B75" s="25" t="s">
        <v>95</v>
      </c>
      <c r="C75" s="36"/>
      <c r="D75" s="36"/>
      <c r="E75" s="36">
        <v>5000.0</v>
      </c>
      <c r="F75" s="36"/>
      <c r="G75" s="36"/>
      <c r="H75" s="36">
        <v>7800.0</v>
      </c>
      <c r="I75" s="36"/>
      <c r="J75" s="36"/>
      <c r="K75" s="36"/>
      <c r="L75" s="37"/>
      <c r="M75" s="37"/>
      <c r="N75" s="37"/>
      <c r="O75" s="37"/>
      <c r="P75" s="37"/>
      <c r="Q75" s="37"/>
      <c r="R75" s="37"/>
      <c r="S75" s="37">
        <v>4020.0</v>
      </c>
      <c r="T75" s="37">
        <v>53057.0</v>
      </c>
      <c r="U75" s="38">
        <v>79100.0</v>
      </c>
      <c r="V75" s="39">
        <v>148977.0</v>
      </c>
      <c r="W75" s="40">
        <f t="shared" si="1"/>
        <v>0.0745126611</v>
      </c>
    </row>
    <row r="76" ht="15.0" customHeight="1">
      <c r="A76" s="35"/>
      <c r="B76" s="25" t="s">
        <v>97</v>
      </c>
      <c r="C76" s="36"/>
      <c r="D76" s="36">
        <v>57500.0</v>
      </c>
      <c r="E76" s="36"/>
      <c r="F76" s="36"/>
      <c r="G76" s="36"/>
      <c r="H76" s="36"/>
      <c r="I76" s="36"/>
      <c r="J76" s="36"/>
      <c r="K76" s="36"/>
      <c r="L76" s="37"/>
      <c r="M76" s="37"/>
      <c r="N76" s="37"/>
      <c r="O76" s="37"/>
      <c r="P76" s="37"/>
      <c r="Q76" s="37"/>
      <c r="R76" s="37"/>
      <c r="S76" s="37">
        <v>506902.0</v>
      </c>
      <c r="T76" s="37">
        <v>100.0</v>
      </c>
      <c r="U76" s="38">
        <v>5265.0</v>
      </c>
      <c r="V76" s="39">
        <v>569767.0</v>
      </c>
      <c r="W76" s="40">
        <f t="shared" si="1"/>
        <v>0.2849759049</v>
      </c>
    </row>
    <row r="77" ht="15.0" customHeight="1">
      <c r="A77" s="35"/>
      <c r="B77" s="25" t="s">
        <v>98</v>
      </c>
      <c r="C77" s="36"/>
      <c r="D77" s="36">
        <v>3000.0</v>
      </c>
      <c r="E77" s="36">
        <v>24000.0</v>
      </c>
      <c r="F77" s="36"/>
      <c r="G77" s="36"/>
      <c r="H77" s="36"/>
      <c r="I77" s="36"/>
      <c r="J77" s="36"/>
      <c r="K77" s="36"/>
      <c r="L77" s="37"/>
      <c r="M77" s="37"/>
      <c r="N77" s="37"/>
      <c r="O77" s="37"/>
      <c r="P77" s="37"/>
      <c r="Q77" s="37"/>
      <c r="R77" s="37"/>
      <c r="S77" s="37">
        <v>8900.0</v>
      </c>
      <c r="T77" s="37"/>
      <c r="U77" s="38">
        <v>38155.0</v>
      </c>
      <c r="V77" s="39">
        <v>74055.0</v>
      </c>
      <c r="W77" s="40">
        <f t="shared" si="1"/>
        <v>0.03703951025</v>
      </c>
    </row>
    <row r="78" ht="15.0" customHeight="1">
      <c r="A78" s="35"/>
      <c r="B78" s="25" t="s">
        <v>99</v>
      </c>
      <c r="C78" s="36">
        <v>4000.0</v>
      </c>
      <c r="D78" s="36"/>
      <c r="E78" s="36">
        <v>11565.0</v>
      </c>
      <c r="F78" s="36"/>
      <c r="G78" s="36"/>
      <c r="H78" s="36">
        <v>30170.0</v>
      </c>
      <c r="I78" s="36">
        <v>1000.0</v>
      </c>
      <c r="J78" s="36"/>
      <c r="K78" s="36"/>
      <c r="L78" s="37"/>
      <c r="M78" s="37">
        <v>10000.0</v>
      </c>
      <c r="N78" s="37">
        <v>3600.0</v>
      </c>
      <c r="O78" s="37"/>
      <c r="P78" s="37"/>
      <c r="Q78" s="37"/>
      <c r="R78" s="37"/>
      <c r="S78" s="37">
        <v>2800.0</v>
      </c>
      <c r="T78" s="37"/>
      <c r="U78" s="38">
        <v>280.0</v>
      </c>
      <c r="V78" s="39">
        <v>63415.0</v>
      </c>
      <c r="W78" s="40">
        <f t="shared" si="1"/>
        <v>0.03171778465</v>
      </c>
    </row>
    <row r="79" ht="15.0" customHeight="1">
      <c r="A79" s="35"/>
      <c r="B79" s="25" t="s">
        <v>100</v>
      </c>
      <c r="C79" s="36"/>
      <c r="D79" s="36"/>
      <c r="E79" s="36">
        <v>7000.0</v>
      </c>
      <c r="F79" s="36"/>
      <c r="G79" s="36"/>
      <c r="H79" s="36"/>
      <c r="I79" s="36"/>
      <c r="J79" s="36"/>
      <c r="K79" s="36"/>
      <c r="L79" s="37"/>
      <c r="M79" s="37">
        <v>1000.0</v>
      </c>
      <c r="N79" s="37"/>
      <c r="O79" s="37"/>
      <c r="P79" s="37"/>
      <c r="Q79" s="37"/>
      <c r="R79" s="37"/>
      <c r="S79" s="37">
        <v>37500.0</v>
      </c>
      <c r="T79" s="37"/>
      <c r="U79" s="38">
        <v>6430.0</v>
      </c>
      <c r="V79" s="39">
        <v>51930.0</v>
      </c>
      <c r="W79" s="40">
        <f t="shared" si="1"/>
        <v>0.02597342201</v>
      </c>
    </row>
    <row r="80" ht="15.0" customHeight="1">
      <c r="A80" s="35"/>
      <c r="B80" s="25" t="s">
        <v>101</v>
      </c>
      <c r="C80" s="36"/>
      <c r="D80" s="36"/>
      <c r="E80" s="36"/>
      <c r="F80" s="36"/>
      <c r="G80" s="36"/>
      <c r="H80" s="36"/>
      <c r="I80" s="36"/>
      <c r="J80" s="36"/>
      <c r="K80" s="36"/>
      <c r="L80" s="37"/>
      <c r="M80" s="37"/>
      <c r="N80" s="37"/>
      <c r="O80" s="37"/>
      <c r="P80" s="37"/>
      <c r="Q80" s="37"/>
      <c r="R80" s="37"/>
      <c r="S80" s="37">
        <v>3700.0</v>
      </c>
      <c r="T80" s="37"/>
      <c r="U80" s="38">
        <v>0.0</v>
      </c>
      <c r="V80" s="39">
        <v>3700.0</v>
      </c>
      <c r="W80" s="40">
        <f t="shared" si="1"/>
        <v>0.001850600066</v>
      </c>
    </row>
    <row r="81" ht="15.0" customHeight="1">
      <c r="A81" s="35"/>
      <c r="B81" s="25" t="s">
        <v>102</v>
      </c>
      <c r="C81" s="36"/>
      <c r="D81" s="36">
        <v>4200.0</v>
      </c>
      <c r="E81" s="36">
        <v>33000.0</v>
      </c>
      <c r="F81" s="36"/>
      <c r="G81" s="36"/>
      <c r="H81" s="36"/>
      <c r="I81" s="36"/>
      <c r="J81" s="36"/>
      <c r="K81" s="36"/>
      <c r="L81" s="37"/>
      <c r="M81" s="37"/>
      <c r="N81" s="37"/>
      <c r="O81" s="37"/>
      <c r="P81" s="37"/>
      <c r="Q81" s="37"/>
      <c r="R81" s="37">
        <v>50.0</v>
      </c>
      <c r="S81" s="37">
        <v>24675.0</v>
      </c>
      <c r="T81" s="37"/>
      <c r="U81" s="38">
        <v>0.0</v>
      </c>
      <c r="V81" s="39">
        <v>61925.0</v>
      </c>
      <c r="W81" s="40">
        <f t="shared" si="1"/>
        <v>0.030972543</v>
      </c>
    </row>
    <row r="82" ht="15.0" customHeight="1">
      <c r="A82" s="35"/>
      <c r="B82" s="25" t="s">
        <v>96</v>
      </c>
      <c r="C82" s="36"/>
      <c r="D82" s="36"/>
      <c r="E82" s="36"/>
      <c r="F82" s="36"/>
      <c r="G82" s="36"/>
      <c r="H82" s="36"/>
      <c r="I82" s="36"/>
      <c r="J82" s="36"/>
      <c r="K82" s="36"/>
      <c r="L82" s="37"/>
      <c r="M82" s="37"/>
      <c r="N82" s="37"/>
      <c r="O82" s="37"/>
      <c r="P82" s="37"/>
      <c r="Q82" s="37"/>
      <c r="R82" s="37"/>
      <c r="S82" s="37">
        <v>18046.0</v>
      </c>
      <c r="T82" s="37"/>
      <c r="U82" s="38">
        <v>6000.0</v>
      </c>
      <c r="V82" s="39">
        <v>24046.0</v>
      </c>
      <c r="W82" s="40">
        <f t="shared" si="1"/>
        <v>0.01202689978</v>
      </c>
    </row>
    <row r="83" ht="15.0" customHeight="1">
      <c r="A83" s="35"/>
      <c r="B83" s="25" t="s">
        <v>117</v>
      </c>
      <c r="C83" s="36"/>
      <c r="D83" s="36"/>
      <c r="E83" s="36"/>
      <c r="F83" s="36"/>
      <c r="G83" s="36"/>
      <c r="H83" s="36"/>
      <c r="I83" s="36"/>
      <c r="J83" s="36"/>
      <c r="K83" s="36"/>
      <c r="L83" s="37"/>
      <c r="M83" s="37"/>
      <c r="N83" s="37"/>
      <c r="O83" s="37"/>
      <c r="P83" s="37"/>
      <c r="Q83" s="37"/>
      <c r="R83" s="37"/>
      <c r="S83" s="37">
        <v>106.0</v>
      </c>
      <c r="T83" s="37"/>
      <c r="U83" s="38">
        <v>0.0</v>
      </c>
      <c r="V83" s="39">
        <v>106.0</v>
      </c>
      <c r="W83" s="40">
        <f t="shared" si="1"/>
        <v>0.00005301719109</v>
      </c>
    </row>
    <row r="84" ht="15.0" customHeight="1">
      <c r="A84" s="35"/>
      <c r="B84" s="25" t="s">
        <v>103</v>
      </c>
      <c r="C84" s="36">
        <v>1160.0</v>
      </c>
      <c r="D84" s="36">
        <v>74900.0</v>
      </c>
      <c r="E84" s="36">
        <v>641940.0</v>
      </c>
      <c r="F84" s="36"/>
      <c r="G84" s="36"/>
      <c r="H84" s="36">
        <v>5000.0</v>
      </c>
      <c r="I84" s="36">
        <v>38760.0</v>
      </c>
      <c r="J84" s="36">
        <v>146480.0</v>
      </c>
      <c r="K84" s="36"/>
      <c r="L84" s="37">
        <v>410943.0</v>
      </c>
      <c r="M84" s="37">
        <v>851220.0</v>
      </c>
      <c r="N84" s="37">
        <v>5000.0</v>
      </c>
      <c r="O84" s="37"/>
      <c r="P84" s="37">
        <v>7500.0</v>
      </c>
      <c r="Q84" s="37"/>
      <c r="R84" s="37"/>
      <c r="S84" s="37">
        <v>2000.0</v>
      </c>
      <c r="T84" s="37">
        <v>3000.0</v>
      </c>
      <c r="U84" s="38">
        <v>312500.0</v>
      </c>
      <c r="V84" s="39">
        <v>2500403.0</v>
      </c>
      <c r="W84" s="40">
        <f t="shared" si="1"/>
        <v>1.250607016</v>
      </c>
    </row>
    <row r="85" ht="15.0" customHeight="1">
      <c r="A85" s="35"/>
      <c r="B85" s="25" t="s">
        <v>104</v>
      </c>
      <c r="C85" s="36"/>
      <c r="D85" s="36"/>
      <c r="E85" s="36"/>
      <c r="F85" s="36"/>
      <c r="G85" s="36"/>
      <c r="H85" s="36"/>
      <c r="I85" s="36"/>
      <c r="J85" s="36"/>
      <c r="K85" s="36"/>
      <c r="L85" s="37"/>
      <c r="M85" s="37"/>
      <c r="N85" s="37">
        <v>2000.0</v>
      </c>
      <c r="O85" s="37"/>
      <c r="P85" s="37"/>
      <c r="Q85" s="37"/>
      <c r="R85" s="37"/>
      <c r="S85" s="37">
        <v>50200.0</v>
      </c>
      <c r="T85" s="37"/>
      <c r="U85" s="38">
        <v>0.0</v>
      </c>
      <c r="V85" s="39">
        <v>52200.0</v>
      </c>
      <c r="W85" s="40">
        <f t="shared" si="1"/>
        <v>0.0261084658</v>
      </c>
    </row>
    <row r="86" ht="15.0" customHeight="1">
      <c r="A86" s="35"/>
      <c r="B86" s="25" t="s">
        <v>105</v>
      </c>
      <c r="C86" s="36">
        <v>97780.0</v>
      </c>
      <c r="D86" s="36">
        <v>72490.0</v>
      </c>
      <c r="E86" s="36">
        <v>199289.0</v>
      </c>
      <c r="F86" s="36"/>
      <c r="G86" s="36">
        <v>492560.0</v>
      </c>
      <c r="H86" s="36">
        <v>5245.0</v>
      </c>
      <c r="I86" s="36">
        <v>136000.0</v>
      </c>
      <c r="J86" s="36">
        <v>9880.0</v>
      </c>
      <c r="K86" s="36"/>
      <c r="L86" s="37">
        <v>56000.0</v>
      </c>
      <c r="M86" s="37">
        <v>139500.0</v>
      </c>
      <c r="N86" s="37">
        <v>160790.0</v>
      </c>
      <c r="O86" s="37">
        <v>28000.0</v>
      </c>
      <c r="P86" s="37">
        <v>54330.0</v>
      </c>
      <c r="Q86" s="37">
        <v>192840.0</v>
      </c>
      <c r="R86" s="37"/>
      <c r="S86" s="37">
        <v>1862120.0</v>
      </c>
      <c r="T86" s="37"/>
      <c r="U86" s="38">
        <v>163400.0</v>
      </c>
      <c r="V86" s="39">
        <v>3670224.0</v>
      </c>
      <c r="W86" s="40">
        <f t="shared" si="1"/>
        <v>1.835707237</v>
      </c>
    </row>
    <row r="87" ht="15.0" customHeight="1">
      <c r="A87" s="35"/>
      <c r="B87" s="25" t="s">
        <v>106</v>
      </c>
      <c r="C87" s="36">
        <v>3000.0</v>
      </c>
      <c r="D87" s="36">
        <v>153618.0</v>
      </c>
      <c r="E87" s="36">
        <v>37201.0</v>
      </c>
      <c r="F87" s="36"/>
      <c r="G87" s="36">
        <v>17000.0</v>
      </c>
      <c r="H87" s="36"/>
      <c r="I87" s="36">
        <v>49000.0</v>
      </c>
      <c r="J87" s="36"/>
      <c r="K87" s="36"/>
      <c r="L87" s="37">
        <v>36250.0</v>
      </c>
      <c r="M87" s="37">
        <v>5000.0</v>
      </c>
      <c r="N87" s="37">
        <v>8000.0</v>
      </c>
      <c r="O87" s="37"/>
      <c r="P87" s="37">
        <v>2000.0</v>
      </c>
      <c r="Q87" s="37"/>
      <c r="R87" s="37"/>
      <c r="S87" s="37">
        <v>260625.0</v>
      </c>
      <c r="T87" s="37"/>
      <c r="U87" s="38">
        <v>5000.0</v>
      </c>
      <c r="V87" s="39">
        <v>576694.0</v>
      </c>
      <c r="W87" s="40">
        <f t="shared" si="1"/>
        <v>0.2884405283</v>
      </c>
    </row>
    <row r="88" ht="15.0" customHeight="1">
      <c r="A88" s="41"/>
      <c r="B88" s="46" t="s">
        <v>107</v>
      </c>
      <c r="C88" s="43">
        <v>241656.0</v>
      </c>
      <c r="D88" s="43">
        <v>1100.0</v>
      </c>
      <c r="E88" s="43">
        <v>6750.0</v>
      </c>
      <c r="F88" s="43"/>
      <c r="G88" s="43"/>
      <c r="H88" s="43">
        <v>4916.0</v>
      </c>
      <c r="I88" s="43">
        <v>7000.0</v>
      </c>
      <c r="J88" s="43">
        <v>6640.0</v>
      </c>
      <c r="K88" s="43"/>
      <c r="L88" s="38">
        <v>2000.0</v>
      </c>
      <c r="M88" s="38"/>
      <c r="N88" s="38">
        <v>2300.0</v>
      </c>
      <c r="O88" s="38"/>
      <c r="P88" s="38"/>
      <c r="Q88" s="38"/>
      <c r="R88" s="38"/>
      <c r="S88" s="38">
        <v>1200.0</v>
      </c>
      <c r="T88" s="38"/>
      <c r="U88" s="38">
        <v>2000.0</v>
      </c>
      <c r="V88" s="44">
        <v>275562.0</v>
      </c>
      <c r="W88" s="40">
        <f t="shared" si="1"/>
        <v>0.1378256907</v>
      </c>
      <c r="X88" s="45"/>
      <c r="Y88" s="45"/>
    </row>
    <row r="89" ht="15.0" customHeight="1">
      <c r="A89" s="41"/>
      <c r="B89" s="46" t="s">
        <v>108</v>
      </c>
      <c r="C89" s="43">
        <v>256285.0</v>
      </c>
      <c r="D89" s="43">
        <v>3050.0</v>
      </c>
      <c r="E89" s="43">
        <v>6800.0</v>
      </c>
      <c r="F89" s="43"/>
      <c r="G89" s="43"/>
      <c r="H89" s="43">
        <v>4605.0</v>
      </c>
      <c r="I89" s="43"/>
      <c r="J89" s="43">
        <v>4340.0</v>
      </c>
      <c r="K89" s="43"/>
      <c r="L89" s="38">
        <v>8500.0</v>
      </c>
      <c r="M89" s="38">
        <v>2000.0</v>
      </c>
      <c r="N89" s="38">
        <v>8250.0</v>
      </c>
      <c r="O89" s="38"/>
      <c r="P89" s="38"/>
      <c r="Q89" s="38">
        <v>1000.0</v>
      </c>
      <c r="R89" s="38"/>
      <c r="S89" s="38"/>
      <c r="T89" s="38"/>
      <c r="U89" s="38">
        <v>4000.0</v>
      </c>
      <c r="V89" s="44">
        <v>298830.0</v>
      </c>
      <c r="W89" s="40">
        <f t="shared" si="1"/>
        <v>0.1494634643</v>
      </c>
      <c r="X89" s="45"/>
      <c r="Y89" s="45"/>
    </row>
    <row r="90" ht="15.0" customHeight="1">
      <c r="A90" s="35"/>
      <c r="B90" s="47" t="s">
        <v>109</v>
      </c>
      <c r="C90" s="36"/>
      <c r="D90" s="36"/>
      <c r="E90" s="36"/>
      <c r="F90" s="36"/>
      <c r="G90" s="36"/>
      <c r="H90" s="36"/>
      <c r="I90" s="36">
        <v>3000.0</v>
      </c>
      <c r="J90" s="36"/>
      <c r="K90" s="36"/>
      <c r="L90" s="37"/>
      <c r="M90" s="37"/>
      <c r="N90" s="37"/>
      <c r="O90" s="37"/>
      <c r="P90" s="37"/>
      <c r="Q90" s="37"/>
      <c r="R90" s="37"/>
      <c r="S90" s="37"/>
      <c r="T90" s="37">
        <v>1730066.0</v>
      </c>
      <c r="U90" s="38">
        <v>0.0</v>
      </c>
      <c r="V90" s="39">
        <v>1733066.0</v>
      </c>
      <c r="W90" s="40">
        <f t="shared" si="1"/>
        <v>0.8668140688</v>
      </c>
    </row>
    <row r="91" ht="15.0" customHeight="1">
      <c r="A91" s="35"/>
      <c r="B91" s="47" t="s">
        <v>110</v>
      </c>
      <c r="C91" s="36">
        <v>3000.0</v>
      </c>
      <c r="D91" s="36">
        <v>14200.0</v>
      </c>
      <c r="E91" s="36">
        <v>23000.0</v>
      </c>
      <c r="F91" s="36"/>
      <c r="G91" s="36"/>
      <c r="H91" s="36">
        <v>7700.0</v>
      </c>
      <c r="I91" s="36">
        <v>110300.0</v>
      </c>
      <c r="J91" s="36">
        <v>33700.0</v>
      </c>
      <c r="K91" s="36"/>
      <c r="L91" s="37">
        <v>21000.0</v>
      </c>
      <c r="M91" s="37">
        <v>9666.0</v>
      </c>
      <c r="N91" s="37">
        <v>11000.0</v>
      </c>
      <c r="O91" s="37"/>
      <c r="P91" s="37">
        <v>3750.0</v>
      </c>
      <c r="Q91" s="37"/>
      <c r="R91" s="37"/>
      <c r="S91" s="37">
        <v>5000.0</v>
      </c>
      <c r="T91" s="37">
        <v>11000.0</v>
      </c>
      <c r="U91" s="38">
        <v>180250.0</v>
      </c>
      <c r="V91" s="39">
        <v>433566.0</v>
      </c>
      <c r="W91" s="40">
        <f t="shared" si="1"/>
        <v>0.2168533158</v>
      </c>
    </row>
    <row r="92" ht="15.0" customHeight="1">
      <c r="A92" s="35"/>
      <c r="B92" s="47" t="s">
        <v>111</v>
      </c>
      <c r="C92" s="36"/>
      <c r="D92" s="36"/>
      <c r="E92" s="36"/>
      <c r="F92" s="36"/>
      <c r="G92" s="36"/>
      <c r="H92" s="36"/>
      <c r="I92" s="36">
        <v>1000.0</v>
      </c>
      <c r="J92" s="36"/>
      <c r="K92" s="36"/>
      <c r="L92" s="37"/>
      <c r="M92" s="37"/>
      <c r="N92" s="37"/>
      <c r="O92" s="37"/>
      <c r="P92" s="37"/>
      <c r="Q92" s="37"/>
      <c r="R92" s="37"/>
      <c r="S92" s="37"/>
      <c r="T92" s="37"/>
      <c r="U92" s="38">
        <v>0.0</v>
      </c>
      <c r="V92" s="39">
        <v>1000.0</v>
      </c>
      <c r="W92" s="40">
        <f t="shared" si="1"/>
        <v>0.0005001621801</v>
      </c>
    </row>
    <row r="93" ht="15.0" customHeight="1">
      <c r="A93" s="35"/>
      <c r="B93" s="47" t="s">
        <v>112</v>
      </c>
      <c r="C93" s="36">
        <v>4540.0</v>
      </c>
      <c r="D93" s="36"/>
      <c r="E93" s="36"/>
      <c r="F93" s="36"/>
      <c r="G93" s="36"/>
      <c r="H93" s="36">
        <v>50.0</v>
      </c>
      <c r="I93" s="36">
        <v>2200.0</v>
      </c>
      <c r="J93" s="36">
        <v>1000.0</v>
      </c>
      <c r="K93" s="36"/>
      <c r="L93" s="37"/>
      <c r="M93" s="37"/>
      <c r="N93" s="37"/>
      <c r="O93" s="37"/>
      <c r="P93" s="37"/>
      <c r="Q93" s="37"/>
      <c r="R93" s="37"/>
      <c r="S93" s="37">
        <v>3500.0</v>
      </c>
      <c r="T93" s="37"/>
      <c r="U93" s="38">
        <v>0.0</v>
      </c>
      <c r="V93" s="39">
        <v>11290.0</v>
      </c>
      <c r="W93" s="40">
        <f t="shared" si="1"/>
        <v>0.005646831013</v>
      </c>
    </row>
    <row r="94" ht="15.0" customHeight="1">
      <c r="A94" s="35"/>
      <c r="B94" s="47" t="s">
        <v>114</v>
      </c>
      <c r="C94" s="36">
        <v>21300.0</v>
      </c>
      <c r="D94" s="36">
        <v>3000.0</v>
      </c>
      <c r="E94" s="36">
        <v>15000.0</v>
      </c>
      <c r="F94" s="36"/>
      <c r="G94" s="36"/>
      <c r="H94" s="36"/>
      <c r="I94" s="36"/>
      <c r="J94" s="36"/>
      <c r="K94" s="36"/>
      <c r="L94" s="37"/>
      <c r="M94" s="37"/>
      <c r="N94" s="37">
        <v>217174.0</v>
      </c>
      <c r="O94" s="37"/>
      <c r="P94" s="37"/>
      <c r="Q94" s="37"/>
      <c r="R94" s="37"/>
      <c r="S94" s="37">
        <v>2316400.0</v>
      </c>
      <c r="T94" s="37"/>
      <c r="U94" s="38">
        <v>10600.0</v>
      </c>
      <c r="V94" s="39">
        <v>2583474.0</v>
      </c>
      <c r="W94" s="40">
        <f t="shared" si="1"/>
        <v>1.292155988</v>
      </c>
    </row>
    <row r="95" ht="15.0" customHeight="1">
      <c r="A95" s="35"/>
      <c r="B95" s="47" t="s">
        <v>118</v>
      </c>
      <c r="C95" s="36">
        <v>3100.0</v>
      </c>
      <c r="D95" s="36">
        <v>18500.0</v>
      </c>
      <c r="E95" s="36">
        <v>110150.0</v>
      </c>
      <c r="F95" s="36"/>
      <c r="G95" s="36">
        <v>35500.0</v>
      </c>
      <c r="H95" s="36"/>
      <c r="I95" s="36">
        <v>14500.0</v>
      </c>
      <c r="J95" s="36">
        <v>2000.0</v>
      </c>
      <c r="K95" s="36"/>
      <c r="L95" s="37">
        <v>8000.0</v>
      </c>
      <c r="M95" s="37">
        <v>6000.0</v>
      </c>
      <c r="N95" s="37">
        <v>5000.0</v>
      </c>
      <c r="O95" s="37">
        <v>25000.0</v>
      </c>
      <c r="P95" s="37">
        <v>150950.0</v>
      </c>
      <c r="Q95" s="37">
        <v>5000.0</v>
      </c>
      <c r="R95" s="37"/>
      <c r="S95" s="37">
        <v>527591.0</v>
      </c>
      <c r="T95" s="37"/>
      <c r="U95" s="38">
        <v>417500.0</v>
      </c>
      <c r="V95" s="39">
        <v>1328791.0</v>
      </c>
      <c r="W95" s="40">
        <f t="shared" si="1"/>
        <v>0.6646110034</v>
      </c>
    </row>
    <row r="96" ht="15.0" customHeight="1">
      <c r="A96" s="35"/>
      <c r="B96" s="47" t="s">
        <v>139</v>
      </c>
      <c r="C96" s="48">
        <v>7380976.0</v>
      </c>
      <c r="D96" s="48">
        <v>1.0862202E7</v>
      </c>
      <c r="E96" s="48">
        <v>2.9120154E7</v>
      </c>
      <c r="F96" s="48">
        <v>3155935.0</v>
      </c>
      <c r="G96" s="48">
        <v>3161745.0</v>
      </c>
      <c r="H96" s="48">
        <v>8722911.0</v>
      </c>
      <c r="I96" s="48">
        <v>2.6793085E7</v>
      </c>
      <c r="J96" s="48">
        <v>2927975.0</v>
      </c>
      <c r="K96" s="48">
        <v>1823508.0</v>
      </c>
      <c r="L96" s="39">
        <v>1.3352788E7</v>
      </c>
      <c r="M96" s="39">
        <v>4011352.0</v>
      </c>
      <c r="N96" s="39">
        <v>2798738.0</v>
      </c>
      <c r="O96" s="39">
        <v>1177525.0</v>
      </c>
      <c r="P96" s="39">
        <v>1.0838538E7</v>
      </c>
      <c r="Q96" s="39">
        <v>851370.0</v>
      </c>
      <c r="R96" s="39">
        <v>2227850.0</v>
      </c>
      <c r="S96" s="39">
        <v>5.7366096E7</v>
      </c>
      <c r="T96" s="39">
        <v>3172494.0</v>
      </c>
      <c r="U96" s="44">
        <v>6709105.0</v>
      </c>
      <c r="V96" s="39">
        <f>SUM(V2:V95)</f>
        <v>199935149</v>
      </c>
      <c r="W96" s="40"/>
    </row>
    <row r="97" ht="15.0" customHeight="1">
      <c r="B97" s="47" t="s">
        <v>138</v>
      </c>
      <c r="C97" s="40">
        <f t="shared" ref="C97:U97" si="2">(C96/$V$96)*100</f>
        <v>3.691685047</v>
      </c>
      <c r="D97" s="40">
        <f t="shared" si="2"/>
        <v>5.432862633</v>
      </c>
      <c r="E97" s="40">
        <f t="shared" si="2"/>
        <v>14.56479971</v>
      </c>
      <c r="F97" s="40">
        <f t="shared" si="2"/>
        <v>1.57847933</v>
      </c>
      <c r="G97" s="40">
        <f t="shared" si="2"/>
        <v>1.581385272</v>
      </c>
      <c r="H97" s="40">
        <f t="shared" si="2"/>
        <v>4.362870182</v>
      </c>
      <c r="I97" s="40">
        <f t="shared" si="2"/>
        <v>13.4008878</v>
      </c>
      <c r="J97" s="40">
        <f t="shared" si="2"/>
        <v>1.464462359</v>
      </c>
      <c r="K97" s="40">
        <f t="shared" si="2"/>
        <v>0.9120497367</v>
      </c>
      <c r="L97" s="40">
        <f t="shared" si="2"/>
        <v>6.678559556</v>
      </c>
      <c r="M97" s="40">
        <f t="shared" si="2"/>
        <v>2.006326561</v>
      </c>
      <c r="N97" s="40">
        <f t="shared" si="2"/>
        <v>1.3998229</v>
      </c>
      <c r="O97" s="40">
        <f t="shared" si="2"/>
        <v>0.5889534711</v>
      </c>
      <c r="P97" s="40">
        <f t="shared" si="2"/>
        <v>5.421026795</v>
      </c>
      <c r="Q97" s="40">
        <f t="shared" si="2"/>
        <v>0.4258230753</v>
      </c>
      <c r="R97" s="40">
        <f t="shared" si="2"/>
        <v>1.114286313</v>
      </c>
      <c r="S97" s="40">
        <f t="shared" si="2"/>
        <v>28.69235164</v>
      </c>
      <c r="T97" s="40">
        <f t="shared" si="2"/>
        <v>1.586761515</v>
      </c>
      <c r="U97" s="49">
        <f t="shared" si="2"/>
        <v>3.355640583</v>
      </c>
      <c r="V97" s="40"/>
    </row>
    <row r="98" ht="12.75" customHeight="1">
      <c r="U98" s="45"/>
    </row>
    <row r="99" ht="12.75" customHeight="1">
      <c r="U99" s="45"/>
    </row>
    <row r="100" ht="12.75" customHeight="1">
      <c r="U100" s="45"/>
    </row>
    <row r="101" ht="12.75" customHeight="1">
      <c r="U101" s="45"/>
    </row>
    <row r="102" ht="12.75" customHeight="1">
      <c r="U102" s="45"/>
    </row>
    <row r="103" ht="12.75" customHeight="1">
      <c r="U103" s="45"/>
    </row>
    <row r="104" ht="12.75" customHeight="1">
      <c r="U104" s="45"/>
    </row>
    <row r="105" ht="12.75" customHeight="1">
      <c r="U105" s="45"/>
    </row>
    <row r="106" ht="12.75" customHeight="1">
      <c r="U106" s="45"/>
    </row>
    <row r="107" ht="12.75" customHeight="1">
      <c r="U107" s="45"/>
    </row>
    <row r="108" ht="12.75" customHeight="1">
      <c r="U108" s="45"/>
    </row>
    <row r="109" ht="12.75" customHeight="1">
      <c r="U109" s="45"/>
    </row>
    <row r="110" ht="12.75" customHeight="1">
      <c r="U110" s="45"/>
    </row>
    <row r="111" ht="12.75" customHeight="1">
      <c r="U111" s="45"/>
    </row>
    <row r="112" ht="12.75" customHeight="1">
      <c r="U112" s="45"/>
    </row>
    <row r="113" ht="12.75" customHeight="1">
      <c r="U113" s="45"/>
    </row>
    <row r="114" ht="12.75" customHeight="1">
      <c r="U114" s="45"/>
    </row>
    <row r="115" ht="12.75" customHeight="1">
      <c r="U115" s="45"/>
    </row>
    <row r="116" ht="12.75" customHeight="1">
      <c r="U116" s="45"/>
    </row>
    <row r="117" ht="12.75" customHeight="1">
      <c r="U117" s="45"/>
    </row>
    <row r="118" ht="12.75" customHeight="1">
      <c r="U118" s="45"/>
    </row>
    <row r="119" ht="12.75" customHeight="1">
      <c r="U119" s="45"/>
    </row>
    <row r="120" ht="12.75" customHeight="1">
      <c r="U120" s="45"/>
    </row>
    <row r="121" ht="12.75" customHeight="1">
      <c r="U121" s="45"/>
    </row>
    <row r="122" ht="12.75" customHeight="1">
      <c r="U122" s="45"/>
    </row>
    <row r="123" ht="12.75" customHeight="1">
      <c r="U123" s="45"/>
    </row>
    <row r="124" ht="12.75" customHeight="1">
      <c r="U124" s="45"/>
    </row>
    <row r="125" ht="12.75" customHeight="1">
      <c r="U125" s="45"/>
    </row>
    <row r="126" ht="12.75" customHeight="1">
      <c r="U126" s="45"/>
    </row>
    <row r="127" ht="12.75" customHeight="1">
      <c r="U127" s="45"/>
    </row>
    <row r="128" ht="12.75" customHeight="1">
      <c r="U128" s="45"/>
    </row>
    <row r="129" ht="12.75" customHeight="1">
      <c r="U129" s="45"/>
    </row>
    <row r="130" ht="12.75" customHeight="1">
      <c r="U130" s="45"/>
    </row>
    <row r="131" ht="12.75" customHeight="1">
      <c r="U131" s="45"/>
    </row>
    <row r="132" ht="12.75" customHeight="1">
      <c r="U132" s="45"/>
    </row>
    <row r="133" ht="12.75" customHeight="1">
      <c r="U133" s="45"/>
    </row>
    <row r="134" ht="12.75" customHeight="1">
      <c r="U134" s="45"/>
    </row>
    <row r="135" ht="12.75" customHeight="1">
      <c r="U135" s="45"/>
    </row>
    <row r="136" ht="12.75" customHeight="1">
      <c r="U136" s="45"/>
    </row>
    <row r="137" ht="12.75" customHeight="1">
      <c r="U137" s="45"/>
    </row>
    <row r="138" ht="12.75" customHeight="1">
      <c r="U138" s="45"/>
    </row>
    <row r="139" ht="12.75" customHeight="1">
      <c r="U139" s="45"/>
    </row>
    <row r="140" ht="12.75" customHeight="1">
      <c r="U140" s="45"/>
    </row>
    <row r="141" ht="12.75" customHeight="1">
      <c r="U141" s="45"/>
    </row>
    <row r="142" ht="12.75" customHeight="1">
      <c r="U142" s="45"/>
    </row>
    <row r="143" ht="12.75" customHeight="1">
      <c r="U143" s="45"/>
    </row>
    <row r="144" ht="12.75" customHeight="1">
      <c r="U144" s="45"/>
    </row>
    <row r="145" ht="12.75" customHeight="1">
      <c r="U145" s="45"/>
    </row>
    <row r="146" ht="12.75" customHeight="1">
      <c r="U146" s="45"/>
    </row>
    <row r="147" ht="12.75" customHeight="1">
      <c r="U147" s="45"/>
    </row>
    <row r="148" ht="12.75" customHeight="1">
      <c r="U148" s="45"/>
    </row>
    <row r="149" ht="12.75" customHeight="1">
      <c r="U149" s="45"/>
    </row>
    <row r="150" ht="12.75" customHeight="1">
      <c r="U150" s="45"/>
    </row>
    <row r="151" ht="12.75" customHeight="1">
      <c r="U151" s="45"/>
    </row>
    <row r="152" ht="12.75" customHeight="1">
      <c r="U152" s="45"/>
    </row>
    <row r="153" ht="12.75" customHeight="1">
      <c r="U153" s="45"/>
    </row>
    <row r="154" ht="12.75" customHeight="1">
      <c r="U154" s="45"/>
    </row>
    <row r="155" ht="12.75" customHeight="1">
      <c r="U155" s="45"/>
    </row>
    <row r="156" ht="12.75" customHeight="1">
      <c r="U156" s="45"/>
    </row>
    <row r="157" ht="12.75" customHeight="1">
      <c r="U157" s="45"/>
    </row>
    <row r="158" ht="12.75" customHeight="1">
      <c r="U158" s="45"/>
    </row>
    <row r="159" ht="12.75" customHeight="1">
      <c r="U159" s="45"/>
    </row>
    <row r="160" ht="12.75" customHeight="1">
      <c r="U160" s="45"/>
    </row>
    <row r="161" ht="12.75" customHeight="1">
      <c r="U161" s="45"/>
    </row>
    <row r="162" ht="12.75" customHeight="1">
      <c r="U162" s="45"/>
    </row>
    <row r="163" ht="12.75" customHeight="1">
      <c r="U163" s="45"/>
    </row>
    <row r="164" ht="12.75" customHeight="1">
      <c r="U164" s="45"/>
    </row>
    <row r="165" ht="12.75" customHeight="1">
      <c r="U165" s="45"/>
    </row>
    <row r="166" ht="12.75" customHeight="1">
      <c r="U166" s="45"/>
    </row>
    <row r="167" ht="12.75" customHeight="1">
      <c r="U167" s="45"/>
    </row>
    <row r="168" ht="12.75" customHeight="1">
      <c r="U168" s="45"/>
    </row>
    <row r="169" ht="12.75" customHeight="1">
      <c r="U169" s="45"/>
    </row>
    <row r="170" ht="12.75" customHeight="1">
      <c r="U170" s="45"/>
    </row>
    <row r="171" ht="12.75" customHeight="1">
      <c r="U171" s="45"/>
    </row>
    <row r="172" ht="12.75" customHeight="1">
      <c r="U172" s="45"/>
    </row>
    <row r="173" ht="12.75" customHeight="1">
      <c r="U173" s="45"/>
    </row>
    <row r="174" ht="12.75" customHeight="1">
      <c r="U174" s="45"/>
    </row>
    <row r="175" ht="12.75" customHeight="1">
      <c r="U175" s="45"/>
    </row>
    <row r="176" ht="12.75" customHeight="1">
      <c r="U176" s="45"/>
    </row>
    <row r="177" ht="12.75" customHeight="1">
      <c r="U177" s="45"/>
    </row>
    <row r="178" ht="12.75" customHeight="1">
      <c r="U178" s="45"/>
    </row>
    <row r="179" ht="12.75" customHeight="1">
      <c r="U179" s="45"/>
    </row>
    <row r="180" ht="12.75" customHeight="1">
      <c r="U180" s="45"/>
    </row>
    <row r="181" ht="12.75" customHeight="1">
      <c r="U181" s="45"/>
    </row>
    <row r="182" ht="12.75" customHeight="1">
      <c r="U182" s="45"/>
    </row>
    <row r="183" ht="12.75" customHeight="1">
      <c r="U183" s="45"/>
    </row>
    <row r="184" ht="12.75" customHeight="1">
      <c r="U184" s="45"/>
    </row>
    <row r="185" ht="12.75" customHeight="1">
      <c r="U185" s="45"/>
    </row>
    <row r="186" ht="12.75" customHeight="1">
      <c r="U186" s="45"/>
    </row>
    <row r="187" ht="12.75" customHeight="1">
      <c r="U187" s="45"/>
    </row>
    <row r="188" ht="12.75" customHeight="1">
      <c r="U188" s="45"/>
    </row>
    <row r="189" ht="12.75" customHeight="1">
      <c r="U189" s="45"/>
    </row>
    <row r="190" ht="12.75" customHeight="1">
      <c r="U190" s="45"/>
    </row>
    <row r="191" ht="12.75" customHeight="1">
      <c r="U191" s="45"/>
    </row>
    <row r="192" ht="12.75" customHeight="1">
      <c r="U192" s="45"/>
    </row>
    <row r="193" ht="12.75" customHeight="1">
      <c r="U193" s="45"/>
    </row>
    <row r="194" ht="12.75" customHeight="1">
      <c r="U194" s="45"/>
    </row>
    <row r="195" ht="12.75" customHeight="1">
      <c r="U195" s="45"/>
    </row>
    <row r="196" ht="12.75" customHeight="1">
      <c r="U196" s="45"/>
    </row>
    <row r="197" ht="12.75" customHeight="1">
      <c r="U197" s="45"/>
    </row>
    <row r="198" ht="12.75" customHeight="1">
      <c r="U198" s="45"/>
    </row>
    <row r="199" ht="12.75" customHeight="1">
      <c r="U199" s="45"/>
    </row>
    <row r="200" ht="12.75" customHeight="1">
      <c r="U200" s="45"/>
    </row>
    <row r="201" ht="12.75" customHeight="1">
      <c r="U201" s="45"/>
    </row>
    <row r="202" ht="12.75" customHeight="1">
      <c r="U202" s="45"/>
    </row>
    <row r="203" ht="12.75" customHeight="1">
      <c r="U203" s="45"/>
    </row>
    <row r="204" ht="12.75" customHeight="1">
      <c r="U204" s="45"/>
    </row>
    <row r="205" ht="12.75" customHeight="1">
      <c r="U205" s="45"/>
    </row>
    <row r="206" ht="12.75" customHeight="1">
      <c r="U206" s="45"/>
    </row>
    <row r="207" ht="12.75" customHeight="1">
      <c r="U207" s="45"/>
    </row>
    <row r="208" ht="12.75" customHeight="1">
      <c r="U208" s="45"/>
    </row>
    <row r="209" ht="12.75" customHeight="1">
      <c r="U209" s="45"/>
    </row>
    <row r="210" ht="12.75" customHeight="1">
      <c r="U210" s="45"/>
    </row>
    <row r="211" ht="12.75" customHeight="1">
      <c r="U211" s="45"/>
    </row>
    <row r="212" ht="12.75" customHeight="1">
      <c r="U212" s="45"/>
    </row>
    <row r="213" ht="12.75" customHeight="1">
      <c r="U213" s="45"/>
    </row>
    <row r="214" ht="12.75" customHeight="1">
      <c r="U214" s="45"/>
    </row>
    <row r="215" ht="12.75" customHeight="1">
      <c r="U215" s="45"/>
    </row>
    <row r="216" ht="12.75" customHeight="1">
      <c r="U216" s="45"/>
    </row>
    <row r="217" ht="12.75" customHeight="1">
      <c r="U217" s="45"/>
    </row>
    <row r="218" ht="12.75" customHeight="1">
      <c r="U218" s="45"/>
    </row>
    <row r="219" ht="12.75" customHeight="1">
      <c r="U219" s="45"/>
    </row>
    <row r="220" ht="12.75" customHeight="1">
      <c r="U220" s="45"/>
    </row>
    <row r="221" ht="12.75" customHeight="1">
      <c r="U221" s="45"/>
    </row>
    <row r="222" ht="12.75" customHeight="1">
      <c r="U222" s="45"/>
    </row>
    <row r="223" ht="12.75" customHeight="1">
      <c r="U223" s="45"/>
    </row>
    <row r="224" ht="12.75" customHeight="1">
      <c r="U224" s="45"/>
    </row>
    <row r="225" ht="12.75" customHeight="1">
      <c r="U225" s="45"/>
    </row>
    <row r="226" ht="12.75" customHeight="1">
      <c r="U226" s="45"/>
    </row>
    <row r="227" ht="12.75" customHeight="1">
      <c r="U227" s="45"/>
    </row>
    <row r="228" ht="12.75" customHeight="1">
      <c r="U228" s="45"/>
    </row>
    <row r="229" ht="12.75" customHeight="1">
      <c r="U229" s="45"/>
    </row>
    <row r="230" ht="12.75" customHeight="1">
      <c r="U230" s="45"/>
    </row>
    <row r="231" ht="12.75" customHeight="1">
      <c r="U231" s="45"/>
    </row>
    <row r="232" ht="12.75" customHeight="1">
      <c r="U232" s="45"/>
    </row>
    <row r="233" ht="12.75" customHeight="1">
      <c r="U233" s="45"/>
    </row>
    <row r="234" ht="12.75" customHeight="1">
      <c r="U234" s="45"/>
    </row>
    <row r="235" ht="12.75" customHeight="1">
      <c r="U235" s="45"/>
    </row>
    <row r="236" ht="12.75" customHeight="1">
      <c r="U236" s="45"/>
    </row>
    <row r="237" ht="12.75" customHeight="1">
      <c r="U237" s="45"/>
    </row>
    <row r="238" ht="12.75" customHeight="1">
      <c r="U238" s="45"/>
    </row>
    <row r="239" ht="12.75" customHeight="1">
      <c r="U239" s="45"/>
    </row>
    <row r="240" ht="12.75" customHeight="1">
      <c r="U240" s="45"/>
    </row>
    <row r="241" ht="12.75" customHeight="1">
      <c r="U241" s="45"/>
    </row>
    <row r="242" ht="12.75" customHeight="1">
      <c r="U242" s="45"/>
    </row>
    <row r="243" ht="12.75" customHeight="1">
      <c r="U243" s="45"/>
    </row>
    <row r="244" ht="12.75" customHeight="1">
      <c r="U244" s="45"/>
    </row>
    <row r="245" ht="12.75" customHeight="1">
      <c r="U245" s="45"/>
    </row>
    <row r="246" ht="12.75" customHeight="1">
      <c r="U246" s="45"/>
    </row>
    <row r="247" ht="12.75" customHeight="1">
      <c r="U247" s="45"/>
    </row>
    <row r="248" ht="12.75" customHeight="1">
      <c r="U248" s="45"/>
    </row>
    <row r="249" ht="12.75" customHeight="1">
      <c r="U249" s="45"/>
    </row>
    <row r="250" ht="12.75" customHeight="1">
      <c r="U250" s="45"/>
    </row>
    <row r="251" ht="12.75" customHeight="1">
      <c r="U251" s="45"/>
    </row>
    <row r="252" ht="12.75" customHeight="1">
      <c r="U252" s="45"/>
    </row>
    <row r="253" ht="12.75" customHeight="1">
      <c r="U253" s="45"/>
    </row>
    <row r="254" ht="12.75" customHeight="1">
      <c r="U254" s="45"/>
    </row>
    <row r="255" ht="12.75" customHeight="1">
      <c r="U255" s="45"/>
    </row>
    <row r="256" ht="12.75" customHeight="1">
      <c r="U256" s="45"/>
    </row>
    <row r="257" ht="12.75" customHeight="1">
      <c r="U257" s="45"/>
    </row>
    <row r="258" ht="12.75" customHeight="1">
      <c r="U258" s="45"/>
    </row>
    <row r="259" ht="12.75" customHeight="1">
      <c r="U259" s="45"/>
    </row>
    <row r="260" ht="12.75" customHeight="1">
      <c r="U260" s="45"/>
    </row>
    <row r="261" ht="12.75" customHeight="1">
      <c r="U261" s="45"/>
    </row>
    <row r="262" ht="12.75" customHeight="1">
      <c r="U262" s="45"/>
    </row>
    <row r="263" ht="12.75" customHeight="1">
      <c r="U263" s="45"/>
    </row>
    <row r="264" ht="12.75" customHeight="1">
      <c r="U264" s="45"/>
    </row>
    <row r="265" ht="12.75" customHeight="1">
      <c r="U265" s="45"/>
    </row>
    <row r="266" ht="12.75" customHeight="1">
      <c r="U266" s="45"/>
    </row>
    <row r="267" ht="12.75" customHeight="1">
      <c r="U267" s="45"/>
    </row>
    <row r="268" ht="12.75" customHeight="1">
      <c r="U268" s="45"/>
    </row>
    <row r="269" ht="12.75" customHeight="1">
      <c r="U269" s="45"/>
    </row>
    <row r="270" ht="12.75" customHeight="1">
      <c r="U270" s="45"/>
    </row>
    <row r="271" ht="12.75" customHeight="1">
      <c r="U271" s="45"/>
    </row>
    <row r="272" ht="12.75" customHeight="1">
      <c r="U272" s="45"/>
    </row>
    <row r="273" ht="12.75" customHeight="1">
      <c r="U273" s="45"/>
    </row>
    <row r="274" ht="12.75" customHeight="1">
      <c r="U274" s="45"/>
    </row>
    <row r="275" ht="12.75" customHeight="1">
      <c r="U275" s="45"/>
    </row>
    <row r="276" ht="12.75" customHeight="1">
      <c r="U276" s="45"/>
    </row>
    <row r="277" ht="12.75" customHeight="1">
      <c r="U277" s="45"/>
    </row>
    <row r="278" ht="12.75" customHeight="1">
      <c r="U278" s="45"/>
    </row>
    <row r="279" ht="12.75" customHeight="1">
      <c r="U279" s="45"/>
    </row>
    <row r="280" ht="12.75" customHeight="1">
      <c r="U280" s="45"/>
    </row>
    <row r="281" ht="12.75" customHeight="1">
      <c r="U281" s="45"/>
    </row>
    <row r="282" ht="12.75" customHeight="1">
      <c r="U282" s="45"/>
    </row>
    <row r="283" ht="12.75" customHeight="1">
      <c r="U283" s="45"/>
    </row>
    <row r="284" ht="12.75" customHeight="1">
      <c r="U284" s="45"/>
    </row>
    <row r="285" ht="12.75" customHeight="1">
      <c r="U285" s="45"/>
    </row>
    <row r="286" ht="12.75" customHeight="1">
      <c r="U286" s="45"/>
    </row>
    <row r="287" ht="12.75" customHeight="1">
      <c r="U287" s="45"/>
    </row>
    <row r="288" ht="12.75" customHeight="1">
      <c r="U288" s="45"/>
    </row>
    <row r="289" ht="12.75" customHeight="1">
      <c r="U289" s="45"/>
    </row>
    <row r="290" ht="12.75" customHeight="1">
      <c r="U290" s="45"/>
    </row>
    <row r="291" ht="12.75" customHeight="1">
      <c r="U291" s="45"/>
    </row>
    <row r="292" ht="12.75" customHeight="1">
      <c r="U292" s="45"/>
    </row>
    <row r="293" ht="12.75" customHeight="1">
      <c r="U293" s="45"/>
    </row>
    <row r="294" ht="12.75" customHeight="1">
      <c r="U294" s="45"/>
    </row>
    <row r="295" ht="12.75" customHeight="1">
      <c r="U295" s="45"/>
    </row>
    <row r="296" ht="12.75" customHeight="1">
      <c r="U296" s="45"/>
    </row>
    <row r="297" ht="12.75" customHeight="1">
      <c r="U297" s="45"/>
    </row>
    <row r="298" ht="12.75" customHeight="1">
      <c r="U298" s="45"/>
    </row>
    <row r="299" ht="12.75" customHeight="1">
      <c r="U299" s="45"/>
    </row>
    <row r="300" ht="12.75" customHeight="1">
      <c r="U300" s="45"/>
    </row>
    <row r="301" ht="12.75" customHeight="1">
      <c r="U301" s="45"/>
    </row>
    <row r="302" ht="12.75" customHeight="1">
      <c r="U302" s="45"/>
    </row>
    <row r="303" ht="12.75" customHeight="1">
      <c r="U303" s="45"/>
    </row>
    <row r="304" ht="12.75" customHeight="1">
      <c r="U304" s="45"/>
    </row>
    <row r="305" ht="12.75" customHeight="1">
      <c r="U305" s="45"/>
    </row>
    <row r="306" ht="12.75" customHeight="1">
      <c r="U306" s="45"/>
    </row>
    <row r="307" ht="12.75" customHeight="1">
      <c r="U307" s="45"/>
    </row>
    <row r="308" ht="12.75" customHeight="1">
      <c r="U308" s="45"/>
    </row>
    <row r="309" ht="12.75" customHeight="1">
      <c r="U309" s="45"/>
    </row>
    <row r="310" ht="12.75" customHeight="1">
      <c r="U310" s="45"/>
    </row>
    <row r="311" ht="12.75" customHeight="1">
      <c r="U311" s="45"/>
    </row>
    <row r="312" ht="12.75" customHeight="1">
      <c r="U312" s="45"/>
    </row>
    <row r="313" ht="12.75" customHeight="1">
      <c r="U313" s="45"/>
    </row>
    <row r="314" ht="12.75" customHeight="1">
      <c r="U314" s="45"/>
    </row>
    <row r="315" ht="12.75" customHeight="1">
      <c r="U315" s="45"/>
    </row>
    <row r="316" ht="12.75" customHeight="1">
      <c r="U316" s="45"/>
    </row>
    <row r="317" ht="12.75" customHeight="1">
      <c r="U317" s="45"/>
    </row>
    <row r="318" ht="12.75" customHeight="1">
      <c r="U318" s="45"/>
    </row>
    <row r="319" ht="12.75" customHeight="1">
      <c r="U319" s="45"/>
    </row>
    <row r="320" ht="12.75" customHeight="1">
      <c r="U320" s="45"/>
    </row>
    <row r="321" ht="12.75" customHeight="1">
      <c r="U321" s="45"/>
    </row>
    <row r="322" ht="12.75" customHeight="1">
      <c r="U322" s="45"/>
    </row>
    <row r="323" ht="12.75" customHeight="1">
      <c r="U323" s="45"/>
    </row>
    <row r="324" ht="12.75" customHeight="1">
      <c r="U324" s="45"/>
    </row>
    <row r="325" ht="12.75" customHeight="1">
      <c r="U325" s="45"/>
    </row>
    <row r="326" ht="12.75" customHeight="1">
      <c r="U326" s="45"/>
    </row>
    <row r="327" ht="12.75" customHeight="1">
      <c r="U327" s="45"/>
    </row>
    <row r="328" ht="12.75" customHeight="1">
      <c r="U328" s="45"/>
    </row>
    <row r="329" ht="12.75" customHeight="1">
      <c r="U329" s="45"/>
    </row>
    <row r="330" ht="12.75" customHeight="1">
      <c r="U330" s="45"/>
    </row>
    <row r="331" ht="12.75" customHeight="1">
      <c r="U331" s="45"/>
    </row>
    <row r="332" ht="12.75" customHeight="1">
      <c r="U332" s="45"/>
    </row>
    <row r="333" ht="12.75" customHeight="1">
      <c r="U333" s="45"/>
    </row>
    <row r="334" ht="12.75" customHeight="1">
      <c r="U334" s="45"/>
    </row>
    <row r="335" ht="12.75" customHeight="1">
      <c r="U335" s="45"/>
    </row>
    <row r="336" ht="12.75" customHeight="1">
      <c r="U336" s="45"/>
    </row>
    <row r="337" ht="12.75" customHeight="1">
      <c r="U337" s="45"/>
    </row>
    <row r="338" ht="12.75" customHeight="1">
      <c r="U338" s="45"/>
    </row>
    <row r="339" ht="12.75" customHeight="1">
      <c r="U339" s="45"/>
    </row>
    <row r="340" ht="12.75" customHeight="1">
      <c r="U340" s="45"/>
    </row>
    <row r="341" ht="12.75" customHeight="1">
      <c r="U341" s="45"/>
    </row>
    <row r="342" ht="12.75" customHeight="1">
      <c r="U342" s="45"/>
    </row>
    <row r="343" ht="12.75" customHeight="1">
      <c r="U343" s="45"/>
    </row>
    <row r="344" ht="12.75" customHeight="1">
      <c r="U344" s="45"/>
    </row>
    <row r="345" ht="12.75" customHeight="1">
      <c r="U345" s="45"/>
    </row>
    <row r="346" ht="12.75" customHeight="1">
      <c r="U346" s="45"/>
    </row>
    <row r="347" ht="12.75" customHeight="1">
      <c r="U347" s="45"/>
    </row>
    <row r="348" ht="12.75" customHeight="1">
      <c r="U348" s="45"/>
    </row>
    <row r="349" ht="12.75" customHeight="1">
      <c r="U349" s="45"/>
    </row>
    <row r="350" ht="12.75" customHeight="1">
      <c r="U350" s="45"/>
    </row>
    <row r="351" ht="12.75" customHeight="1">
      <c r="U351" s="45"/>
    </row>
    <row r="352" ht="12.75" customHeight="1">
      <c r="U352" s="45"/>
    </row>
    <row r="353" ht="12.75" customHeight="1">
      <c r="U353" s="45"/>
    </row>
    <row r="354" ht="12.75" customHeight="1">
      <c r="U354" s="45"/>
    </row>
    <row r="355" ht="12.75" customHeight="1">
      <c r="U355" s="45"/>
    </row>
    <row r="356" ht="12.75" customHeight="1">
      <c r="U356" s="45"/>
    </row>
    <row r="357" ht="12.75" customHeight="1">
      <c r="U357" s="45"/>
    </row>
    <row r="358" ht="12.75" customHeight="1">
      <c r="U358" s="45"/>
    </row>
    <row r="359" ht="12.75" customHeight="1">
      <c r="U359" s="45"/>
    </row>
    <row r="360" ht="12.75" customHeight="1">
      <c r="U360" s="45"/>
    </row>
    <row r="361" ht="12.75" customHeight="1">
      <c r="U361" s="45"/>
    </row>
    <row r="362" ht="12.75" customHeight="1">
      <c r="U362" s="45"/>
    </row>
    <row r="363" ht="12.75" customHeight="1">
      <c r="U363" s="45"/>
    </row>
    <row r="364" ht="12.75" customHeight="1">
      <c r="U364" s="45"/>
    </row>
    <row r="365" ht="12.75" customHeight="1">
      <c r="U365" s="45"/>
    </row>
    <row r="366" ht="12.75" customHeight="1">
      <c r="U366" s="45"/>
    </row>
    <row r="367" ht="12.75" customHeight="1">
      <c r="U367" s="45"/>
    </row>
    <row r="368" ht="12.75" customHeight="1">
      <c r="U368" s="45"/>
    </row>
    <row r="369" ht="12.75" customHeight="1">
      <c r="U369" s="45"/>
    </row>
    <row r="370" ht="12.75" customHeight="1">
      <c r="U370" s="45"/>
    </row>
    <row r="371" ht="12.75" customHeight="1">
      <c r="U371" s="45"/>
    </row>
    <row r="372" ht="12.75" customHeight="1">
      <c r="U372" s="45"/>
    </row>
    <row r="373" ht="12.75" customHeight="1">
      <c r="U373" s="45"/>
    </row>
    <row r="374" ht="12.75" customHeight="1">
      <c r="U374" s="45"/>
    </row>
    <row r="375" ht="12.75" customHeight="1">
      <c r="U375" s="45"/>
    </row>
    <row r="376" ht="12.75" customHeight="1">
      <c r="U376" s="45"/>
    </row>
    <row r="377" ht="12.75" customHeight="1">
      <c r="U377" s="45"/>
    </row>
    <row r="378" ht="12.75" customHeight="1">
      <c r="U378" s="45"/>
    </row>
    <row r="379" ht="12.75" customHeight="1">
      <c r="U379" s="45"/>
    </row>
    <row r="380" ht="12.75" customHeight="1">
      <c r="U380" s="45"/>
    </row>
    <row r="381" ht="12.75" customHeight="1">
      <c r="U381" s="45"/>
    </row>
    <row r="382" ht="12.75" customHeight="1">
      <c r="U382" s="45"/>
    </row>
    <row r="383" ht="12.75" customHeight="1">
      <c r="U383" s="45"/>
    </row>
    <row r="384" ht="12.75" customHeight="1">
      <c r="U384" s="45"/>
    </row>
    <row r="385" ht="12.75" customHeight="1">
      <c r="U385" s="45"/>
    </row>
    <row r="386" ht="12.75" customHeight="1">
      <c r="U386" s="45"/>
    </row>
    <row r="387" ht="12.75" customHeight="1">
      <c r="U387" s="45"/>
    </row>
    <row r="388" ht="12.75" customHeight="1">
      <c r="U388" s="45"/>
    </row>
    <row r="389" ht="12.75" customHeight="1">
      <c r="U389" s="45"/>
    </row>
    <row r="390" ht="12.75" customHeight="1">
      <c r="U390" s="45"/>
    </row>
    <row r="391" ht="12.75" customHeight="1">
      <c r="U391" s="45"/>
    </row>
    <row r="392" ht="12.75" customHeight="1">
      <c r="U392" s="45"/>
    </row>
    <row r="393" ht="12.75" customHeight="1">
      <c r="U393" s="45"/>
    </row>
    <row r="394" ht="12.75" customHeight="1">
      <c r="U394" s="45"/>
    </row>
    <row r="395" ht="12.75" customHeight="1">
      <c r="U395" s="45"/>
    </row>
    <row r="396" ht="12.75" customHeight="1">
      <c r="U396" s="45"/>
    </row>
    <row r="397" ht="12.75" customHeight="1">
      <c r="U397" s="45"/>
    </row>
    <row r="398" ht="12.75" customHeight="1">
      <c r="U398" s="45"/>
    </row>
    <row r="399" ht="12.75" customHeight="1">
      <c r="U399" s="45"/>
    </row>
    <row r="400" ht="12.75" customHeight="1">
      <c r="U400" s="45"/>
    </row>
    <row r="401" ht="12.75" customHeight="1">
      <c r="U401" s="45"/>
    </row>
    <row r="402" ht="12.75" customHeight="1">
      <c r="U402" s="45"/>
    </row>
    <row r="403" ht="12.75" customHeight="1">
      <c r="U403" s="45"/>
    </row>
    <row r="404" ht="12.75" customHeight="1">
      <c r="U404" s="45"/>
    </row>
    <row r="405" ht="12.75" customHeight="1">
      <c r="U405" s="45"/>
    </row>
    <row r="406" ht="12.75" customHeight="1">
      <c r="U406" s="45"/>
    </row>
    <row r="407" ht="12.75" customHeight="1">
      <c r="U407" s="45"/>
    </row>
    <row r="408" ht="12.75" customHeight="1">
      <c r="U408" s="45"/>
    </row>
    <row r="409" ht="12.75" customHeight="1">
      <c r="U409" s="45"/>
    </row>
    <row r="410" ht="12.75" customHeight="1">
      <c r="U410" s="45"/>
    </row>
    <row r="411" ht="12.75" customHeight="1">
      <c r="U411" s="45"/>
    </row>
    <row r="412" ht="12.75" customHeight="1">
      <c r="U412" s="45"/>
    </row>
    <row r="413" ht="12.75" customHeight="1">
      <c r="U413" s="45"/>
    </row>
    <row r="414" ht="12.75" customHeight="1">
      <c r="U414" s="45"/>
    </row>
    <row r="415" ht="12.75" customHeight="1">
      <c r="U415" s="45"/>
    </row>
    <row r="416" ht="12.75" customHeight="1">
      <c r="U416" s="45"/>
    </row>
    <row r="417" ht="12.75" customHeight="1">
      <c r="U417" s="45"/>
    </row>
    <row r="418" ht="12.75" customHeight="1">
      <c r="U418" s="45"/>
    </row>
    <row r="419" ht="12.75" customHeight="1">
      <c r="U419" s="45"/>
    </row>
    <row r="420" ht="12.75" customHeight="1">
      <c r="U420" s="45"/>
    </row>
    <row r="421" ht="12.75" customHeight="1">
      <c r="U421" s="45"/>
    </row>
    <row r="422" ht="12.75" customHeight="1">
      <c r="U422" s="45"/>
    </row>
    <row r="423" ht="12.75" customHeight="1">
      <c r="U423" s="45"/>
    </row>
    <row r="424" ht="12.75" customHeight="1">
      <c r="U424" s="45"/>
    </row>
    <row r="425" ht="12.75" customHeight="1">
      <c r="U425" s="45"/>
    </row>
    <row r="426" ht="12.75" customHeight="1">
      <c r="U426" s="45"/>
    </row>
    <row r="427" ht="12.75" customHeight="1">
      <c r="U427" s="45"/>
    </row>
    <row r="428" ht="12.75" customHeight="1">
      <c r="U428" s="45"/>
    </row>
    <row r="429" ht="12.75" customHeight="1">
      <c r="U429" s="45"/>
    </row>
    <row r="430" ht="12.75" customHeight="1">
      <c r="U430" s="45"/>
    </row>
    <row r="431" ht="12.75" customHeight="1">
      <c r="U431" s="45"/>
    </row>
    <row r="432" ht="12.75" customHeight="1">
      <c r="U432" s="45"/>
    </row>
    <row r="433" ht="12.75" customHeight="1">
      <c r="U433" s="45"/>
    </row>
    <row r="434" ht="12.75" customHeight="1">
      <c r="U434" s="45"/>
    </row>
    <row r="435" ht="12.75" customHeight="1">
      <c r="U435" s="45"/>
    </row>
    <row r="436" ht="12.75" customHeight="1">
      <c r="U436" s="45"/>
    </row>
    <row r="437" ht="12.75" customHeight="1">
      <c r="U437" s="45"/>
    </row>
    <row r="438" ht="12.75" customHeight="1">
      <c r="U438" s="45"/>
    </row>
    <row r="439" ht="12.75" customHeight="1">
      <c r="U439" s="45"/>
    </row>
    <row r="440" ht="12.75" customHeight="1">
      <c r="U440" s="45"/>
    </row>
    <row r="441" ht="12.75" customHeight="1">
      <c r="U441" s="45"/>
    </row>
    <row r="442" ht="12.75" customHeight="1">
      <c r="U442" s="45"/>
    </row>
    <row r="443" ht="12.75" customHeight="1">
      <c r="U443" s="45"/>
    </row>
    <row r="444" ht="12.75" customHeight="1">
      <c r="U444" s="45"/>
    </row>
    <row r="445" ht="12.75" customHeight="1">
      <c r="U445" s="45"/>
    </row>
    <row r="446" ht="12.75" customHeight="1">
      <c r="U446" s="45"/>
    </row>
    <row r="447" ht="12.75" customHeight="1">
      <c r="U447" s="45"/>
    </row>
    <row r="448" ht="12.75" customHeight="1">
      <c r="U448" s="45"/>
    </row>
    <row r="449" ht="12.75" customHeight="1">
      <c r="U449" s="45"/>
    </row>
    <row r="450" ht="12.75" customHeight="1">
      <c r="U450" s="45"/>
    </row>
    <row r="451" ht="12.75" customHeight="1">
      <c r="U451" s="45"/>
    </row>
    <row r="452" ht="12.75" customHeight="1">
      <c r="U452" s="45"/>
    </row>
    <row r="453" ht="12.75" customHeight="1">
      <c r="U453" s="45"/>
    </row>
    <row r="454" ht="12.75" customHeight="1">
      <c r="U454" s="45"/>
    </row>
    <row r="455" ht="12.75" customHeight="1">
      <c r="U455" s="45"/>
    </row>
    <row r="456" ht="12.75" customHeight="1">
      <c r="U456" s="45"/>
    </row>
    <row r="457" ht="12.75" customHeight="1">
      <c r="U457" s="45"/>
    </row>
    <row r="458" ht="12.75" customHeight="1">
      <c r="U458" s="45"/>
    </row>
    <row r="459" ht="12.75" customHeight="1">
      <c r="U459" s="45"/>
    </row>
    <row r="460" ht="12.75" customHeight="1">
      <c r="U460" s="45"/>
    </row>
    <row r="461" ht="12.75" customHeight="1">
      <c r="U461" s="45"/>
    </row>
    <row r="462" ht="12.75" customHeight="1">
      <c r="U462" s="45"/>
    </row>
    <row r="463" ht="12.75" customHeight="1">
      <c r="U463" s="45"/>
    </row>
    <row r="464" ht="12.75" customHeight="1">
      <c r="U464" s="45"/>
    </row>
    <row r="465" ht="12.75" customHeight="1">
      <c r="U465" s="45"/>
    </row>
    <row r="466" ht="12.75" customHeight="1">
      <c r="U466" s="45"/>
    </row>
    <row r="467" ht="12.75" customHeight="1">
      <c r="U467" s="45"/>
    </row>
    <row r="468" ht="12.75" customHeight="1">
      <c r="U468" s="45"/>
    </row>
    <row r="469" ht="12.75" customHeight="1">
      <c r="U469" s="45"/>
    </row>
    <row r="470" ht="12.75" customHeight="1">
      <c r="U470" s="45"/>
    </row>
    <row r="471" ht="12.75" customHeight="1">
      <c r="U471" s="45"/>
    </row>
    <row r="472" ht="12.75" customHeight="1">
      <c r="U472" s="45"/>
    </row>
    <row r="473" ht="12.75" customHeight="1">
      <c r="U473" s="45"/>
    </row>
    <row r="474" ht="12.75" customHeight="1">
      <c r="U474" s="45"/>
    </row>
    <row r="475" ht="12.75" customHeight="1">
      <c r="U475" s="45"/>
    </row>
    <row r="476" ht="12.75" customHeight="1">
      <c r="U476" s="45"/>
    </row>
    <row r="477" ht="12.75" customHeight="1">
      <c r="U477" s="45"/>
    </row>
    <row r="478" ht="12.75" customHeight="1">
      <c r="U478" s="45"/>
    </row>
    <row r="479" ht="12.75" customHeight="1">
      <c r="U479" s="45"/>
    </row>
    <row r="480" ht="12.75" customHeight="1">
      <c r="U480" s="45"/>
    </row>
    <row r="481" ht="12.75" customHeight="1">
      <c r="U481" s="45"/>
    </row>
    <row r="482" ht="12.75" customHeight="1">
      <c r="U482" s="45"/>
    </row>
    <row r="483" ht="12.75" customHeight="1">
      <c r="U483" s="45"/>
    </row>
    <row r="484" ht="12.75" customHeight="1">
      <c r="U484" s="45"/>
    </row>
    <row r="485" ht="12.75" customHeight="1">
      <c r="U485" s="45"/>
    </row>
    <row r="486" ht="12.75" customHeight="1">
      <c r="U486" s="45"/>
    </row>
    <row r="487" ht="12.75" customHeight="1">
      <c r="U487" s="45"/>
    </row>
    <row r="488" ht="12.75" customHeight="1">
      <c r="U488" s="45"/>
    </row>
    <row r="489" ht="12.75" customHeight="1">
      <c r="U489" s="45"/>
    </row>
    <row r="490" ht="12.75" customHeight="1">
      <c r="U490" s="45"/>
    </row>
    <row r="491" ht="12.75" customHeight="1">
      <c r="U491" s="45"/>
    </row>
    <row r="492" ht="12.75" customHeight="1">
      <c r="U492" s="45"/>
    </row>
    <row r="493" ht="12.75" customHeight="1">
      <c r="U493" s="45"/>
    </row>
    <row r="494" ht="12.75" customHeight="1">
      <c r="U494" s="45"/>
    </row>
    <row r="495" ht="12.75" customHeight="1">
      <c r="U495" s="45"/>
    </row>
    <row r="496" ht="12.75" customHeight="1">
      <c r="U496" s="45"/>
    </row>
    <row r="497" ht="12.75" customHeight="1">
      <c r="U497" s="45"/>
    </row>
    <row r="498" ht="12.75" customHeight="1">
      <c r="U498" s="45"/>
    </row>
    <row r="499" ht="12.75" customHeight="1">
      <c r="U499" s="45"/>
    </row>
    <row r="500" ht="12.75" customHeight="1">
      <c r="U500" s="45"/>
    </row>
    <row r="501" ht="12.75" customHeight="1">
      <c r="U501" s="45"/>
    </row>
    <row r="502" ht="12.75" customHeight="1">
      <c r="U502" s="45"/>
    </row>
    <row r="503" ht="12.75" customHeight="1">
      <c r="U503" s="45"/>
    </row>
    <row r="504" ht="12.75" customHeight="1">
      <c r="U504" s="45"/>
    </row>
    <row r="505" ht="12.75" customHeight="1">
      <c r="U505" s="45"/>
    </row>
    <row r="506" ht="12.75" customHeight="1">
      <c r="U506" s="45"/>
    </row>
    <row r="507" ht="12.75" customHeight="1">
      <c r="U507" s="45"/>
    </row>
    <row r="508" ht="12.75" customHeight="1">
      <c r="U508" s="45"/>
    </row>
    <row r="509" ht="12.75" customHeight="1">
      <c r="U509" s="45"/>
    </row>
    <row r="510" ht="12.75" customHeight="1">
      <c r="U510" s="45"/>
    </row>
    <row r="511" ht="12.75" customHeight="1">
      <c r="U511" s="45"/>
    </row>
    <row r="512" ht="12.75" customHeight="1">
      <c r="U512" s="45"/>
    </row>
    <row r="513" ht="12.75" customHeight="1">
      <c r="U513" s="45"/>
    </row>
    <row r="514" ht="12.75" customHeight="1">
      <c r="U514" s="45"/>
    </row>
    <row r="515" ht="12.75" customHeight="1">
      <c r="U515" s="45"/>
    </row>
    <row r="516" ht="12.75" customHeight="1">
      <c r="U516" s="45"/>
    </row>
    <row r="517" ht="12.75" customHeight="1">
      <c r="U517" s="45"/>
    </row>
    <row r="518" ht="12.75" customHeight="1">
      <c r="U518" s="45"/>
    </row>
    <row r="519" ht="12.75" customHeight="1">
      <c r="U519" s="45"/>
    </row>
    <row r="520" ht="12.75" customHeight="1">
      <c r="U520" s="45"/>
    </row>
    <row r="521" ht="12.75" customHeight="1">
      <c r="U521" s="45"/>
    </row>
    <row r="522" ht="12.75" customHeight="1">
      <c r="U522" s="45"/>
    </row>
    <row r="523" ht="12.75" customHeight="1">
      <c r="U523" s="45"/>
    </row>
    <row r="524" ht="12.75" customHeight="1">
      <c r="U524" s="45"/>
    </row>
    <row r="525" ht="12.75" customHeight="1">
      <c r="U525" s="45"/>
    </row>
    <row r="526" ht="12.75" customHeight="1">
      <c r="U526" s="45"/>
    </row>
    <row r="527" ht="12.75" customHeight="1">
      <c r="U527" s="45"/>
    </row>
    <row r="528" ht="12.75" customHeight="1">
      <c r="U528" s="45"/>
    </row>
    <row r="529" ht="12.75" customHeight="1">
      <c r="U529" s="45"/>
    </row>
    <row r="530" ht="12.75" customHeight="1">
      <c r="U530" s="45"/>
    </row>
    <row r="531" ht="12.75" customHeight="1">
      <c r="U531" s="45"/>
    </row>
    <row r="532" ht="12.75" customHeight="1">
      <c r="U532" s="45"/>
    </row>
    <row r="533" ht="12.75" customHeight="1">
      <c r="U533" s="45"/>
    </row>
    <row r="534" ht="12.75" customHeight="1">
      <c r="U534" s="45"/>
    </row>
    <row r="535" ht="12.75" customHeight="1">
      <c r="U535" s="45"/>
    </row>
    <row r="536" ht="12.75" customHeight="1">
      <c r="U536" s="45"/>
    </row>
    <row r="537" ht="12.75" customHeight="1">
      <c r="U537" s="45"/>
    </row>
    <row r="538" ht="12.75" customHeight="1">
      <c r="U538" s="45"/>
    </row>
    <row r="539" ht="12.75" customHeight="1">
      <c r="U539" s="45"/>
    </row>
    <row r="540" ht="12.75" customHeight="1">
      <c r="U540" s="45"/>
    </row>
    <row r="541" ht="12.75" customHeight="1">
      <c r="U541" s="45"/>
    </row>
    <row r="542" ht="12.75" customHeight="1">
      <c r="U542" s="45"/>
    </row>
    <row r="543" ht="12.75" customHeight="1">
      <c r="U543" s="45"/>
    </row>
    <row r="544" ht="12.75" customHeight="1">
      <c r="U544" s="45"/>
    </row>
    <row r="545" ht="12.75" customHeight="1">
      <c r="U545" s="45"/>
    </row>
    <row r="546" ht="12.75" customHeight="1">
      <c r="U546" s="45"/>
    </row>
    <row r="547" ht="12.75" customHeight="1">
      <c r="U547" s="45"/>
    </row>
    <row r="548" ht="12.75" customHeight="1">
      <c r="U548" s="45"/>
    </row>
    <row r="549" ht="12.75" customHeight="1">
      <c r="U549" s="45"/>
    </row>
    <row r="550" ht="12.75" customHeight="1">
      <c r="U550" s="45"/>
    </row>
    <row r="551" ht="12.75" customHeight="1">
      <c r="U551" s="45"/>
    </row>
    <row r="552" ht="12.75" customHeight="1">
      <c r="U552" s="45"/>
    </row>
    <row r="553" ht="12.75" customHeight="1">
      <c r="U553" s="45"/>
    </row>
    <row r="554" ht="12.75" customHeight="1">
      <c r="U554" s="45"/>
    </row>
    <row r="555" ht="12.75" customHeight="1">
      <c r="U555" s="45"/>
    </row>
    <row r="556" ht="12.75" customHeight="1">
      <c r="U556" s="45"/>
    </row>
    <row r="557" ht="12.75" customHeight="1">
      <c r="U557" s="45"/>
    </row>
    <row r="558" ht="12.75" customHeight="1">
      <c r="U558" s="45"/>
    </row>
    <row r="559" ht="12.75" customHeight="1">
      <c r="U559" s="45"/>
    </row>
    <row r="560" ht="12.75" customHeight="1">
      <c r="U560" s="45"/>
    </row>
    <row r="561" ht="12.75" customHeight="1">
      <c r="U561" s="45"/>
    </row>
    <row r="562" ht="12.75" customHeight="1">
      <c r="U562" s="45"/>
    </row>
    <row r="563" ht="12.75" customHeight="1">
      <c r="U563" s="45"/>
    </row>
    <row r="564" ht="12.75" customHeight="1">
      <c r="U564" s="45"/>
    </row>
    <row r="565" ht="12.75" customHeight="1">
      <c r="U565" s="45"/>
    </row>
    <row r="566" ht="12.75" customHeight="1">
      <c r="U566" s="45"/>
    </row>
    <row r="567" ht="12.75" customHeight="1">
      <c r="U567" s="45"/>
    </row>
    <row r="568" ht="12.75" customHeight="1">
      <c r="U568" s="45"/>
    </row>
    <row r="569" ht="12.75" customHeight="1">
      <c r="U569" s="45"/>
    </row>
    <row r="570" ht="12.75" customHeight="1">
      <c r="U570" s="45"/>
    </row>
    <row r="571" ht="12.75" customHeight="1">
      <c r="U571" s="45"/>
    </row>
    <row r="572" ht="12.75" customHeight="1">
      <c r="U572" s="45"/>
    </row>
    <row r="573" ht="12.75" customHeight="1">
      <c r="U573" s="45"/>
    </row>
    <row r="574" ht="12.75" customHeight="1">
      <c r="U574" s="45"/>
    </row>
    <row r="575" ht="12.75" customHeight="1">
      <c r="U575" s="45"/>
    </row>
    <row r="576" ht="12.75" customHeight="1">
      <c r="U576" s="45"/>
    </row>
    <row r="577" ht="12.75" customHeight="1">
      <c r="U577" s="45"/>
    </row>
    <row r="578" ht="12.75" customHeight="1">
      <c r="U578" s="45"/>
    </row>
    <row r="579" ht="12.75" customHeight="1">
      <c r="U579" s="45"/>
    </row>
    <row r="580" ht="12.75" customHeight="1">
      <c r="U580" s="45"/>
    </row>
    <row r="581" ht="12.75" customHeight="1">
      <c r="U581" s="45"/>
    </row>
    <row r="582" ht="12.75" customHeight="1">
      <c r="U582" s="45"/>
    </row>
    <row r="583" ht="12.75" customHeight="1">
      <c r="U583" s="45"/>
    </row>
    <row r="584" ht="12.75" customHeight="1">
      <c r="U584" s="45"/>
    </row>
    <row r="585" ht="12.75" customHeight="1">
      <c r="U585" s="45"/>
    </row>
    <row r="586" ht="12.75" customHeight="1">
      <c r="U586" s="45"/>
    </row>
    <row r="587" ht="12.75" customHeight="1">
      <c r="U587" s="45"/>
    </row>
    <row r="588" ht="12.75" customHeight="1">
      <c r="U588" s="45"/>
    </row>
    <row r="589" ht="12.75" customHeight="1">
      <c r="U589" s="45"/>
    </row>
    <row r="590" ht="12.75" customHeight="1">
      <c r="U590" s="45"/>
    </row>
    <row r="591" ht="12.75" customHeight="1">
      <c r="U591" s="45"/>
    </row>
    <row r="592" ht="12.75" customHeight="1">
      <c r="U592" s="45"/>
    </row>
    <row r="593" ht="12.75" customHeight="1">
      <c r="U593" s="45"/>
    </row>
    <row r="594" ht="12.75" customHeight="1">
      <c r="U594" s="45"/>
    </row>
    <row r="595" ht="12.75" customHeight="1">
      <c r="U595" s="45"/>
    </row>
    <row r="596" ht="12.75" customHeight="1">
      <c r="U596" s="45"/>
    </row>
    <row r="597" ht="12.75" customHeight="1">
      <c r="U597" s="45"/>
    </row>
    <row r="598" ht="12.75" customHeight="1">
      <c r="U598" s="45"/>
    </row>
    <row r="599" ht="12.75" customHeight="1">
      <c r="U599" s="45"/>
    </row>
    <row r="600" ht="12.75" customHeight="1">
      <c r="U600" s="45"/>
    </row>
    <row r="601" ht="12.75" customHeight="1">
      <c r="U601" s="45"/>
    </row>
    <row r="602" ht="12.75" customHeight="1">
      <c r="U602" s="45"/>
    </row>
    <row r="603" ht="12.75" customHeight="1">
      <c r="U603" s="45"/>
    </row>
    <row r="604" ht="12.75" customHeight="1">
      <c r="U604" s="45"/>
    </row>
    <row r="605" ht="12.75" customHeight="1">
      <c r="U605" s="45"/>
    </row>
    <row r="606" ht="12.75" customHeight="1">
      <c r="U606" s="45"/>
    </row>
    <row r="607" ht="12.75" customHeight="1">
      <c r="U607" s="45"/>
    </row>
    <row r="608" ht="12.75" customHeight="1">
      <c r="U608" s="45"/>
    </row>
    <row r="609" ht="12.75" customHeight="1">
      <c r="U609" s="45"/>
    </row>
    <row r="610" ht="12.75" customHeight="1">
      <c r="U610" s="45"/>
    </row>
    <row r="611" ht="12.75" customHeight="1">
      <c r="U611" s="45"/>
    </row>
    <row r="612" ht="12.75" customHeight="1">
      <c r="U612" s="45"/>
    </row>
    <row r="613" ht="12.75" customHeight="1">
      <c r="U613" s="45"/>
    </row>
    <row r="614" ht="12.75" customHeight="1">
      <c r="U614" s="45"/>
    </row>
    <row r="615" ht="12.75" customHeight="1">
      <c r="U615" s="45"/>
    </row>
    <row r="616" ht="12.75" customHeight="1">
      <c r="U616" s="45"/>
    </row>
    <row r="617" ht="12.75" customHeight="1">
      <c r="U617" s="45"/>
    </row>
    <row r="618" ht="12.75" customHeight="1">
      <c r="U618" s="45"/>
    </row>
    <row r="619" ht="12.75" customHeight="1">
      <c r="U619" s="45"/>
    </row>
    <row r="620" ht="12.75" customHeight="1">
      <c r="U620" s="45"/>
    </row>
    <row r="621" ht="12.75" customHeight="1">
      <c r="U621" s="45"/>
    </row>
    <row r="622" ht="12.75" customHeight="1">
      <c r="U622" s="45"/>
    </row>
    <row r="623" ht="12.75" customHeight="1">
      <c r="U623" s="45"/>
    </row>
    <row r="624" ht="12.75" customHeight="1">
      <c r="U624" s="45"/>
    </row>
    <row r="625" ht="12.75" customHeight="1">
      <c r="U625" s="45"/>
    </row>
    <row r="626" ht="12.75" customHeight="1">
      <c r="U626" s="45"/>
    </row>
    <row r="627" ht="12.75" customHeight="1">
      <c r="U627" s="45"/>
    </row>
    <row r="628" ht="12.75" customHeight="1">
      <c r="U628" s="45"/>
    </row>
    <row r="629" ht="12.75" customHeight="1">
      <c r="U629" s="45"/>
    </row>
    <row r="630" ht="12.75" customHeight="1">
      <c r="U630" s="45"/>
    </row>
    <row r="631" ht="12.75" customHeight="1">
      <c r="U631" s="45"/>
    </row>
    <row r="632" ht="12.75" customHeight="1">
      <c r="U632" s="45"/>
    </row>
    <row r="633" ht="12.75" customHeight="1">
      <c r="U633" s="45"/>
    </row>
    <row r="634" ht="12.75" customHeight="1">
      <c r="U634" s="45"/>
    </row>
    <row r="635" ht="12.75" customHeight="1">
      <c r="U635" s="45"/>
    </row>
    <row r="636" ht="12.75" customHeight="1">
      <c r="U636" s="45"/>
    </row>
    <row r="637" ht="12.75" customHeight="1">
      <c r="U637" s="45"/>
    </row>
    <row r="638" ht="12.75" customHeight="1">
      <c r="U638" s="45"/>
    </row>
    <row r="639" ht="12.75" customHeight="1">
      <c r="U639" s="45"/>
    </row>
    <row r="640" ht="12.75" customHeight="1">
      <c r="U640" s="45"/>
    </row>
    <row r="641" ht="12.75" customHeight="1">
      <c r="U641" s="45"/>
    </row>
    <row r="642" ht="12.75" customHeight="1">
      <c r="U642" s="45"/>
    </row>
    <row r="643" ht="12.75" customHeight="1">
      <c r="U643" s="45"/>
    </row>
    <row r="644" ht="12.75" customHeight="1">
      <c r="U644" s="45"/>
    </row>
    <row r="645" ht="12.75" customHeight="1">
      <c r="U645" s="45"/>
    </row>
    <row r="646" ht="12.75" customHeight="1">
      <c r="U646" s="45"/>
    </row>
    <row r="647" ht="12.75" customHeight="1">
      <c r="U647" s="45"/>
    </row>
    <row r="648" ht="12.75" customHeight="1">
      <c r="U648" s="45"/>
    </row>
    <row r="649" ht="12.75" customHeight="1">
      <c r="U649" s="45"/>
    </row>
    <row r="650" ht="12.75" customHeight="1">
      <c r="U650" s="45"/>
    </row>
    <row r="651" ht="12.75" customHeight="1">
      <c r="U651" s="45"/>
    </row>
    <row r="652" ht="12.75" customHeight="1">
      <c r="U652" s="45"/>
    </row>
    <row r="653" ht="12.75" customHeight="1">
      <c r="U653" s="45"/>
    </row>
    <row r="654" ht="12.75" customHeight="1">
      <c r="U654" s="45"/>
    </row>
    <row r="655" ht="12.75" customHeight="1">
      <c r="U655" s="45"/>
    </row>
    <row r="656" ht="12.75" customHeight="1">
      <c r="U656" s="45"/>
    </row>
    <row r="657" ht="12.75" customHeight="1">
      <c r="U657" s="45"/>
    </row>
    <row r="658" ht="12.75" customHeight="1">
      <c r="U658" s="45"/>
    </row>
    <row r="659" ht="12.75" customHeight="1">
      <c r="U659" s="45"/>
    </row>
    <row r="660" ht="12.75" customHeight="1">
      <c r="U660" s="45"/>
    </row>
    <row r="661" ht="12.75" customHeight="1">
      <c r="U661" s="45"/>
    </row>
    <row r="662" ht="12.75" customHeight="1">
      <c r="U662" s="45"/>
    </row>
    <row r="663" ht="12.75" customHeight="1">
      <c r="U663" s="45"/>
    </row>
    <row r="664" ht="12.75" customHeight="1">
      <c r="U664" s="45"/>
    </row>
    <row r="665" ht="12.75" customHeight="1">
      <c r="U665" s="45"/>
    </row>
    <row r="666" ht="12.75" customHeight="1">
      <c r="U666" s="45"/>
    </row>
    <row r="667" ht="12.75" customHeight="1">
      <c r="U667" s="45"/>
    </row>
    <row r="668" ht="12.75" customHeight="1">
      <c r="U668" s="45"/>
    </row>
    <row r="669" ht="12.75" customHeight="1">
      <c r="U669" s="45"/>
    </row>
    <row r="670" ht="12.75" customHeight="1">
      <c r="U670" s="45"/>
    </row>
    <row r="671" ht="12.75" customHeight="1">
      <c r="U671" s="45"/>
    </row>
    <row r="672" ht="12.75" customHeight="1">
      <c r="U672" s="45"/>
    </row>
    <row r="673" ht="12.75" customHeight="1">
      <c r="U673" s="45"/>
    </row>
    <row r="674" ht="12.75" customHeight="1">
      <c r="U674" s="45"/>
    </row>
    <row r="675" ht="12.75" customHeight="1">
      <c r="U675" s="45"/>
    </row>
    <row r="676" ht="12.75" customHeight="1">
      <c r="U676" s="45"/>
    </row>
    <row r="677" ht="12.75" customHeight="1">
      <c r="U677" s="45"/>
    </row>
    <row r="678" ht="12.75" customHeight="1">
      <c r="U678" s="45"/>
    </row>
    <row r="679" ht="12.75" customHeight="1">
      <c r="U679" s="45"/>
    </row>
    <row r="680" ht="12.75" customHeight="1">
      <c r="U680" s="45"/>
    </row>
    <row r="681" ht="12.75" customHeight="1">
      <c r="U681" s="45"/>
    </row>
    <row r="682" ht="12.75" customHeight="1">
      <c r="U682" s="45"/>
    </row>
    <row r="683" ht="12.75" customHeight="1">
      <c r="U683" s="45"/>
    </row>
    <row r="684" ht="12.75" customHeight="1">
      <c r="U684" s="45"/>
    </row>
    <row r="685" ht="12.75" customHeight="1">
      <c r="U685" s="45"/>
    </row>
    <row r="686" ht="12.75" customHeight="1">
      <c r="U686" s="45"/>
    </row>
    <row r="687" ht="12.75" customHeight="1">
      <c r="U687" s="45"/>
    </row>
    <row r="688" ht="12.75" customHeight="1">
      <c r="U688" s="45"/>
    </row>
    <row r="689" ht="12.75" customHeight="1">
      <c r="U689" s="45"/>
    </row>
    <row r="690" ht="12.75" customHeight="1">
      <c r="U690" s="45"/>
    </row>
    <row r="691" ht="12.75" customHeight="1">
      <c r="U691" s="45"/>
    </row>
    <row r="692" ht="12.75" customHeight="1">
      <c r="U692" s="45"/>
    </row>
    <row r="693" ht="12.75" customHeight="1">
      <c r="U693" s="45"/>
    </row>
    <row r="694" ht="12.75" customHeight="1">
      <c r="U694" s="45"/>
    </row>
    <row r="695" ht="12.75" customHeight="1">
      <c r="U695" s="45"/>
    </row>
    <row r="696" ht="12.75" customHeight="1">
      <c r="U696" s="45"/>
    </row>
    <row r="697" ht="12.75" customHeight="1">
      <c r="U697" s="45"/>
    </row>
    <row r="698" ht="12.75" customHeight="1">
      <c r="U698" s="45"/>
    </row>
    <row r="699" ht="12.75" customHeight="1">
      <c r="U699" s="45"/>
    </row>
    <row r="700" ht="12.75" customHeight="1">
      <c r="U700" s="45"/>
    </row>
    <row r="701" ht="12.75" customHeight="1">
      <c r="U701" s="45"/>
    </row>
    <row r="702" ht="12.75" customHeight="1">
      <c r="U702" s="45"/>
    </row>
    <row r="703" ht="12.75" customHeight="1">
      <c r="U703" s="45"/>
    </row>
    <row r="704" ht="12.75" customHeight="1">
      <c r="U704" s="45"/>
    </row>
    <row r="705" ht="12.75" customHeight="1">
      <c r="U705" s="45"/>
    </row>
    <row r="706" ht="12.75" customHeight="1">
      <c r="U706" s="45"/>
    </row>
    <row r="707" ht="12.75" customHeight="1">
      <c r="U707" s="45"/>
    </row>
    <row r="708" ht="12.75" customHeight="1">
      <c r="U708" s="45"/>
    </row>
    <row r="709" ht="12.75" customHeight="1">
      <c r="U709" s="45"/>
    </row>
    <row r="710" ht="12.75" customHeight="1">
      <c r="U710" s="45"/>
    </row>
    <row r="711" ht="12.75" customHeight="1">
      <c r="U711" s="45"/>
    </row>
    <row r="712" ht="12.75" customHeight="1">
      <c r="U712" s="45"/>
    </row>
    <row r="713" ht="12.75" customHeight="1">
      <c r="U713" s="45"/>
    </row>
    <row r="714" ht="12.75" customHeight="1">
      <c r="U714" s="45"/>
    </row>
    <row r="715" ht="12.75" customHeight="1">
      <c r="U715" s="45"/>
    </row>
    <row r="716" ht="12.75" customHeight="1">
      <c r="U716" s="45"/>
    </row>
    <row r="717" ht="12.75" customHeight="1">
      <c r="U717" s="45"/>
    </row>
    <row r="718" ht="12.75" customHeight="1">
      <c r="U718" s="45"/>
    </row>
    <row r="719" ht="12.75" customHeight="1">
      <c r="U719" s="45"/>
    </row>
    <row r="720" ht="12.75" customHeight="1">
      <c r="U720" s="45"/>
    </row>
    <row r="721" ht="12.75" customHeight="1">
      <c r="U721" s="45"/>
    </row>
    <row r="722" ht="12.75" customHeight="1">
      <c r="U722" s="45"/>
    </row>
    <row r="723" ht="12.75" customHeight="1">
      <c r="U723" s="45"/>
    </row>
    <row r="724" ht="12.75" customHeight="1">
      <c r="U724" s="45"/>
    </row>
    <row r="725" ht="12.75" customHeight="1">
      <c r="U725" s="45"/>
    </row>
    <row r="726" ht="12.75" customHeight="1">
      <c r="U726" s="45"/>
    </row>
    <row r="727" ht="12.75" customHeight="1">
      <c r="U727" s="45"/>
    </row>
    <row r="728" ht="12.75" customHeight="1">
      <c r="U728" s="45"/>
    </row>
    <row r="729" ht="12.75" customHeight="1">
      <c r="U729" s="45"/>
    </row>
    <row r="730" ht="12.75" customHeight="1">
      <c r="U730" s="45"/>
    </row>
    <row r="731" ht="12.75" customHeight="1">
      <c r="U731" s="45"/>
    </row>
    <row r="732" ht="12.75" customHeight="1">
      <c r="U732" s="45"/>
    </row>
    <row r="733" ht="12.75" customHeight="1">
      <c r="U733" s="45"/>
    </row>
    <row r="734" ht="12.75" customHeight="1">
      <c r="U734" s="45"/>
    </row>
    <row r="735" ht="12.75" customHeight="1">
      <c r="U735" s="45"/>
    </row>
    <row r="736" ht="12.75" customHeight="1">
      <c r="U736" s="45"/>
    </row>
    <row r="737" ht="12.75" customHeight="1">
      <c r="U737" s="45"/>
    </row>
    <row r="738" ht="12.75" customHeight="1">
      <c r="U738" s="45"/>
    </row>
    <row r="739" ht="12.75" customHeight="1">
      <c r="U739" s="45"/>
    </row>
    <row r="740" ht="12.75" customHeight="1">
      <c r="U740" s="45"/>
    </row>
    <row r="741" ht="12.75" customHeight="1">
      <c r="U741" s="45"/>
    </row>
    <row r="742" ht="12.75" customHeight="1">
      <c r="U742" s="45"/>
    </row>
    <row r="743" ht="12.75" customHeight="1">
      <c r="U743" s="45"/>
    </row>
    <row r="744" ht="12.75" customHeight="1">
      <c r="U744" s="45"/>
    </row>
    <row r="745" ht="12.75" customHeight="1">
      <c r="U745" s="45"/>
    </row>
    <row r="746" ht="12.75" customHeight="1">
      <c r="U746" s="45"/>
    </row>
    <row r="747" ht="12.75" customHeight="1">
      <c r="U747" s="45"/>
    </row>
    <row r="748" ht="12.75" customHeight="1">
      <c r="U748" s="45"/>
    </row>
    <row r="749" ht="12.75" customHeight="1">
      <c r="U749" s="45"/>
    </row>
    <row r="750" ht="12.75" customHeight="1">
      <c r="U750" s="45"/>
    </row>
    <row r="751" ht="12.75" customHeight="1">
      <c r="U751" s="45"/>
    </row>
    <row r="752" ht="12.75" customHeight="1">
      <c r="U752" s="45"/>
    </row>
    <row r="753" ht="12.75" customHeight="1">
      <c r="U753" s="45"/>
    </row>
    <row r="754" ht="12.75" customHeight="1">
      <c r="U754" s="45"/>
    </row>
    <row r="755" ht="12.75" customHeight="1">
      <c r="U755" s="45"/>
    </row>
    <row r="756" ht="12.75" customHeight="1">
      <c r="U756" s="45"/>
    </row>
    <row r="757" ht="12.75" customHeight="1">
      <c r="U757" s="45"/>
    </row>
    <row r="758" ht="12.75" customHeight="1">
      <c r="U758" s="45"/>
    </row>
    <row r="759" ht="12.75" customHeight="1">
      <c r="U759" s="45"/>
    </row>
    <row r="760" ht="12.75" customHeight="1">
      <c r="U760" s="45"/>
    </row>
    <row r="761" ht="12.75" customHeight="1">
      <c r="U761" s="45"/>
    </row>
    <row r="762" ht="12.75" customHeight="1">
      <c r="U762" s="45"/>
    </row>
    <row r="763" ht="12.75" customHeight="1">
      <c r="U763" s="45"/>
    </row>
    <row r="764" ht="12.75" customHeight="1">
      <c r="U764" s="45"/>
    </row>
    <row r="765" ht="12.75" customHeight="1">
      <c r="U765" s="45"/>
    </row>
    <row r="766" ht="12.75" customHeight="1">
      <c r="U766" s="45"/>
    </row>
    <row r="767" ht="12.75" customHeight="1">
      <c r="U767" s="45"/>
    </row>
    <row r="768" ht="12.75" customHeight="1">
      <c r="U768" s="45"/>
    </row>
    <row r="769" ht="12.75" customHeight="1">
      <c r="U769" s="45"/>
    </row>
    <row r="770" ht="12.75" customHeight="1">
      <c r="U770" s="45"/>
    </row>
    <row r="771" ht="12.75" customHeight="1">
      <c r="U771" s="45"/>
    </row>
    <row r="772" ht="12.75" customHeight="1">
      <c r="U772" s="45"/>
    </row>
    <row r="773" ht="12.75" customHeight="1">
      <c r="U773" s="45"/>
    </row>
    <row r="774" ht="12.75" customHeight="1">
      <c r="U774" s="45"/>
    </row>
    <row r="775" ht="12.75" customHeight="1">
      <c r="U775" s="45"/>
    </row>
    <row r="776" ht="12.75" customHeight="1">
      <c r="U776" s="45"/>
    </row>
    <row r="777" ht="12.75" customHeight="1">
      <c r="U777" s="45"/>
    </row>
    <row r="778" ht="12.75" customHeight="1">
      <c r="U778" s="45"/>
    </row>
    <row r="779" ht="12.75" customHeight="1">
      <c r="U779" s="45"/>
    </row>
    <row r="780" ht="12.75" customHeight="1">
      <c r="U780" s="45"/>
    </row>
    <row r="781" ht="12.75" customHeight="1">
      <c r="U781" s="45"/>
    </row>
    <row r="782" ht="12.75" customHeight="1">
      <c r="U782" s="45"/>
    </row>
    <row r="783" ht="12.75" customHeight="1">
      <c r="U783" s="45"/>
    </row>
    <row r="784" ht="12.75" customHeight="1">
      <c r="U784" s="45"/>
    </row>
    <row r="785" ht="12.75" customHeight="1">
      <c r="U785" s="45"/>
    </row>
    <row r="786" ht="12.75" customHeight="1">
      <c r="U786" s="45"/>
    </row>
    <row r="787" ht="12.75" customHeight="1">
      <c r="U787" s="45"/>
    </row>
    <row r="788" ht="12.75" customHeight="1">
      <c r="U788" s="45"/>
    </row>
    <row r="789" ht="12.75" customHeight="1">
      <c r="U789" s="45"/>
    </row>
    <row r="790" ht="12.75" customHeight="1">
      <c r="U790" s="45"/>
    </row>
    <row r="791" ht="12.75" customHeight="1">
      <c r="U791" s="45"/>
    </row>
    <row r="792" ht="12.75" customHeight="1">
      <c r="U792" s="45"/>
    </row>
    <row r="793" ht="12.75" customHeight="1">
      <c r="U793" s="45"/>
    </row>
    <row r="794" ht="12.75" customHeight="1">
      <c r="U794" s="45"/>
    </row>
    <row r="795" ht="12.75" customHeight="1">
      <c r="U795" s="45"/>
    </row>
    <row r="796" ht="12.75" customHeight="1">
      <c r="U796" s="45"/>
    </row>
    <row r="797" ht="12.75" customHeight="1">
      <c r="U797" s="45"/>
    </row>
    <row r="798" ht="12.75" customHeight="1">
      <c r="U798" s="45"/>
    </row>
    <row r="799" ht="12.75" customHeight="1">
      <c r="U799" s="45"/>
    </row>
    <row r="800" ht="12.75" customHeight="1">
      <c r="U800" s="45"/>
    </row>
    <row r="801" ht="12.75" customHeight="1">
      <c r="U801" s="45"/>
    </row>
    <row r="802" ht="12.75" customHeight="1">
      <c r="U802" s="45"/>
    </row>
    <row r="803" ht="12.75" customHeight="1">
      <c r="U803" s="45"/>
    </row>
    <row r="804" ht="12.75" customHeight="1">
      <c r="U804" s="45"/>
    </row>
    <row r="805" ht="12.75" customHeight="1">
      <c r="U805" s="45"/>
    </row>
    <row r="806" ht="12.75" customHeight="1">
      <c r="U806" s="45"/>
    </row>
    <row r="807" ht="12.75" customHeight="1">
      <c r="U807" s="45"/>
    </row>
    <row r="808" ht="12.75" customHeight="1">
      <c r="U808" s="45"/>
    </row>
    <row r="809" ht="12.75" customHeight="1">
      <c r="U809" s="45"/>
    </row>
    <row r="810" ht="12.75" customHeight="1">
      <c r="U810" s="45"/>
    </row>
    <row r="811" ht="12.75" customHeight="1">
      <c r="U811" s="45"/>
    </row>
    <row r="812" ht="12.75" customHeight="1">
      <c r="U812" s="45"/>
    </row>
    <row r="813" ht="12.75" customHeight="1">
      <c r="U813" s="45"/>
    </row>
    <row r="814" ht="12.75" customHeight="1">
      <c r="U814" s="45"/>
    </row>
    <row r="815" ht="12.75" customHeight="1">
      <c r="U815" s="45"/>
    </row>
    <row r="816" ht="12.75" customHeight="1">
      <c r="U816" s="45"/>
    </row>
    <row r="817" ht="12.75" customHeight="1">
      <c r="U817" s="45"/>
    </row>
    <row r="818" ht="12.75" customHeight="1">
      <c r="U818" s="45"/>
    </row>
    <row r="819" ht="12.75" customHeight="1">
      <c r="U819" s="45"/>
    </row>
    <row r="820" ht="12.75" customHeight="1">
      <c r="U820" s="45"/>
    </row>
    <row r="821" ht="12.75" customHeight="1">
      <c r="U821" s="45"/>
    </row>
    <row r="822" ht="12.75" customHeight="1">
      <c r="U822" s="45"/>
    </row>
    <row r="823" ht="12.75" customHeight="1">
      <c r="U823" s="45"/>
    </row>
    <row r="824" ht="12.75" customHeight="1">
      <c r="U824" s="45"/>
    </row>
    <row r="825" ht="12.75" customHeight="1">
      <c r="U825" s="45"/>
    </row>
    <row r="826" ht="12.75" customHeight="1">
      <c r="U826" s="45"/>
    </row>
    <row r="827" ht="12.75" customHeight="1">
      <c r="U827" s="45"/>
    </row>
    <row r="828" ht="12.75" customHeight="1">
      <c r="U828" s="45"/>
    </row>
    <row r="829" ht="12.75" customHeight="1">
      <c r="U829" s="45"/>
    </row>
    <row r="830" ht="12.75" customHeight="1">
      <c r="U830" s="45"/>
    </row>
    <row r="831" ht="12.75" customHeight="1">
      <c r="U831" s="45"/>
    </row>
    <row r="832" ht="12.75" customHeight="1">
      <c r="U832" s="45"/>
    </row>
    <row r="833" ht="12.75" customHeight="1">
      <c r="U833" s="45"/>
    </row>
    <row r="834" ht="12.75" customHeight="1">
      <c r="U834" s="45"/>
    </row>
    <row r="835" ht="12.75" customHeight="1">
      <c r="U835" s="45"/>
    </row>
    <row r="836" ht="12.75" customHeight="1">
      <c r="U836" s="45"/>
    </row>
    <row r="837" ht="12.75" customHeight="1">
      <c r="U837" s="45"/>
    </row>
    <row r="838" ht="12.75" customHeight="1">
      <c r="U838" s="45"/>
    </row>
    <row r="839" ht="12.75" customHeight="1">
      <c r="U839" s="45"/>
    </row>
    <row r="840" ht="12.75" customHeight="1">
      <c r="U840" s="45"/>
    </row>
    <row r="841" ht="12.75" customHeight="1">
      <c r="U841" s="45"/>
    </row>
    <row r="842" ht="12.75" customHeight="1">
      <c r="U842" s="45"/>
    </row>
    <row r="843" ht="12.75" customHeight="1">
      <c r="U843" s="45"/>
    </row>
    <row r="844" ht="12.75" customHeight="1">
      <c r="U844" s="45"/>
    </row>
    <row r="845" ht="12.75" customHeight="1">
      <c r="U845" s="45"/>
    </row>
    <row r="846" ht="12.75" customHeight="1">
      <c r="U846" s="45"/>
    </row>
    <row r="847" ht="12.75" customHeight="1">
      <c r="U847" s="45"/>
    </row>
    <row r="848" ht="12.75" customHeight="1">
      <c r="U848" s="45"/>
    </row>
    <row r="849" ht="12.75" customHeight="1">
      <c r="U849" s="45"/>
    </row>
    <row r="850" ht="12.75" customHeight="1">
      <c r="U850" s="45"/>
    </row>
    <row r="851" ht="12.75" customHeight="1">
      <c r="U851" s="45"/>
    </row>
    <row r="852" ht="12.75" customHeight="1">
      <c r="U852" s="45"/>
    </row>
    <row r="853" ht="12.75" customHeight="1">
      <c r="U853" s="45"/>
    </row>
    <row r="854" ht="12.75" customHeight="1">
      <c r="U854" s="45"/>
    </row>
    <row r="855" ht="12.75" customHeight="1">
      <c r="U855" s="45"/>
    </row>
    <row r="856" ht="12.75" customHeight="1">
      <c r="U856" s="45"/>
    </row>
    <row r="857" ht="12.75" customHeight="1">
      <c r="U857" s="45"/>
    </row>
    <row r="858" ht="12.75" customHeight="1">
      <c r="U858" s="45"/>
    </row>
    <row r="859" ht="12.75" customHeight="1">
      <c r="U859" s="45"/>
    </row>
    <row r="860" ht="12.75" customHeight="1">
      <c r="U860" s="45"/>
    </row>
    <row r="861" ht="12.75" customHeight="1">
      <c r="U861" s="45"/>
    </row>
    <row r="862" ht="12.75" customHeight="1">
      <c r="U862" s="45"/>
    </row>
    <row r="863" ht="12.75" customHeight="1">
      <c r="U863" s="45"/>
    </row>
    <row r="864" ht="12.75" customHeight="1">
      <c r="U864" s="45"/>
    </row>
    <row r="865" ht="12.75" customHeight="1">
      <c r="U865" s="45"/>
    </row>
    <row r="866" ht="12.75" customHeight="1">
      <c r="U866" s="45"/>
    </row>
    <row r="867" ht="12.75" customHeight="1">
      <c r="U867" s="45"/>
    </row>
    <row r="868" ht="12.75" customHeight="1">
      <c r="U868" s="45"/>
    </row>
    <row r="869" ht="12.75" customHeight="1">
      <c r="U869" s="45"/>
    </row>
    <row r="870" ht="12.75" customHeight="1">
      <c r="U870" s="45"/>
    </row>
    <row r="871" ht="12.75" customHeight="1">
      <c r="U871" s="45"/>
    </row>
    <row r="872" ht="12.75" customHeight="1">
      <c r="U872" s="45"/>
    </row>
    <row r="873" ht="12.75" customHeight="1">
      <c r="U873" s="45"/>
    </row>
    <row r="874" ht="12.75" customHeight="1">
      <c r="U874" s="45"/>
    </row>
    <row r="875" ht="12.75" customHeight="1">
      <c r="U875" s="45"/>
    </row>
    <row r="876" ht="12.75" customHeight="1">
      <c r="U876" s="45"/>
    </row>
    <row r="877" ht="12.75" customHeight="1">
      <c r="U877" s="45"/>
    </row>
    <row r="878" ht="12.75" customHeight="1">
      <c r="U878" s="45"/>
    </row>
    <row r="879" ht="12.75" customHeight="1">
      <c r="U879" s="45"/>
    </row>
    <row r="880" ht="12.75" customHeight="1">
      <c r="U880" s="45"/>
    </row>
    <row r="881" ht="12.75" customHeight="1">
      <c r="U881" s="45"/>
    </row>
    <row r="882" ht="12.75" customHeight="1">
      <c r="U882" s="45"/>
    </row>
    <row r="883" ht="12.75" customHeight="1">
      <c r="U883" s="45"/>
    </row>
    <row r="884" ht="12.75" customHeight="1">
      <c r="U884" s="45"/>
    </row>
    <row r="885" ht="12.75" customHeight="1">
      <c r="U885" s="45"/>
    </row>
    <row r="886" ht="12.75" customHeight="1">
      <c r="U886" s="45"/>
    </row>
    <row r="887" ht="12.75" customHeight="1">
      <c r="U887" s="45"/>
    </row>
    <row r="888" ht="12.75" customHeight="1">
      <c r="U888" s="45"/>
    </row>
    <row r="889" ht="12.75" customHeight="1">
      <c r="U889" s="45"/>
    </row>
    <row r="890" ht="12.75" customHeight="1">
      <c r="U890" s="45"/>
    </row>
    <row r="891" ht="12.75" customHeight="1">
      <c r="U891" s="45"/>
    </row>
    <row r="892" ht="12.75" customHeight="1">
      <c r="U892" s="45"/>
    </row>
    <row r="893" ht="12.75" customHeight="1">
      <c r="U893" s="45"/>
    </row>
    <row r="894" ht="12.75" customHeight="1">
      <c r="U894" s="45"/>
    </row>
    <row r="895" ht="12.75" customHeight="1">
      <c r="U895" s="45"/>
    </row>
    <row r="896" ht="12.75" customHeight="1">
      <c r="U896" s="45"/>
    </row>
    <row r="897" ht="12.75" customHeight="1">
      <c r="U897" s="45"/>
    </row>
    <row r="898" ht="12.75" customHeight="1">
      <c r="U898" s="45"/>
    </row>
    <row r="899" ht="12.75" customHeight="1">
      <c r="U899" s="45"/>
    </row>
    <row r="900" ht="12.75" customHeight="1">
      <c r="U900" s="45"/>
    </row>
    <row r="901" ht="12.75" customHeight="1">
      <c r="U901" s="45"/>
    </row>
    <row r="902" ht="12.75" customHeight="1">
      <c r="U902" s="45"/>
    </row>
    <row r="903" ht="12.75" customHeight="1">
      <c r="U903" s="45"/>
    </row>
    <row r="904" ht="12.75" customHeight="1">
      <c r="U904" s="45"/>
    </row>
    <row r="905" ht="12.75" customHeight="1">
      <c r="U905" s="45"/>
    </row>
    <row r="906" ht="12.75" customHeight="1">
      <c r="U906" s="45"/>
    </row>
    <row r="907" ht="12.75" customHeight="1">
      <c r="U907" s="45"/>
    </row>
    <row r="908" ht="12.75" customHeight="1">
      <c r="U908" s="45"/>
    </row>
    <row r="909" ht="12.75" customHeight="1">
      <c r="U909" s="45"/>
    </row>
    <row r="910" ht="12.75" customHeight="1">
      <c r="U910" s="45"/>
    </row>
    <row r="911" ht="12.75" customHeight="1">
      <c r="U911" s="45"/>
    </row>
    <row r="912" ht="12.75" customHeight="1">
      <c r="U912" s="45"/>
    </row>
    <row r="913" ht="12.75" customHeight="1">
      <c r="U913" s="45"/>
    </row>
    <row r="914" ht="12.75" customHeight="1">
      <c r="U914" s="45"/>
    </row>
    <row r="915" ht="12.75" customHeight="1">
      <c r="U915" s="45"/>
    </row>
    <row r="916" ht="12.75" customHeight="1">
      <c r="U916" s="45"/>
    </row>
    <row r="917" ht="12.75" customHeight="1">
      <c r="U917" s="45"/>
    </row>
    <row r="918" ht="12.75" customHeight="1">
      <c r="U918" s="45"/>
    </row>
    <row r="919" ht="12.75" customHeight="1">
      <c r="U919" s="45"/>
    </row>
    <row r="920" ht="12.75" customHeight="1">
      <c r="U920" s="45"/>
    </row>
    <row r="921" ht="12.75" customHeight="1">
      <c r="U921" s="45"/>
    </row>
    <row r="922" ht="12.75" customHeight="1">
      <c r="U922" s="45"/>
    </row>
    <row r="923" ht="12.75" customHeight="1">
      <c r="U923" s="45"/>
    </row>
    <row r="924" ht="12.75" customHeight="1">
      <c r="U924" s="45"/>
    </row>
    <row r="925" ht="12.75" customHeight="1">
      <c r="U925" s="45"/>
    </row>
    <row r="926" ht="12.75" customHeight="1">
      <c r="U926" s="45"/>
    </row>
    <row r="927" ht="12.75" customHeight="1">
      <c r="U927" s="45"/>
    </row>
    <row r="928" ht="12.75" customHeight="1">
      <c r="U928" s="45"/>
    </row>
    <row r="929" ht="12.75" customHeight="1">
      <c r="U929" s="45"/>
    </row>
    <row r="930" ht="12.75" customHeight="1">
      <c r="U930" s="45"/>
    </row>
    <row r="931" ht="12.75" customHeight="1">
      <c r="U931" s="45"/>
    </row>
    <row r="932" ht="12.75" customHeight="1">
      <c r="U932" s="45"/>
    </row>
    <row r="933" ht="12.75" customHeight="1">
      <c r="U933" s="45"/>
    </row>
    <row r="934" ht="12.75" customHeight="1">
      <c r="U934" s="45"/>
    </row>
    <row r="935" ht="12.75" customHeight="1">
      <c r="U935" s="45"/>
    </row>
    <row r="936" ht="12.75" customHeight="1">
      <c r="U936" s="45"/>
    </row>
    <row r="937" ht="12.75" customHeight="1">
      <c r="U937" s="45"/>
    </row>
    <row r="938" ht="12.75" customHeight="1">
      <c r="U938" s="45"/>
    </row>
    <row r="939" ht="12.75" customHeight="1">
      <c r="U939" s="45"/>
    </row>
    <row r="940" ht="12.75" customHeight="1">
      <c r="U940" s="45"/>
    </row>
    <row r="941" ht="12.75" customHeight="1">
      <c r="U941" s="45"/>
    </row>
    <row r="942" ht="12.75" customHeight="1">
      <c r="U942" s="45"/>
    </row>
    <row r="943" ht="12.75" customHeight="1">
      <c r="U943" s="45"/>
    </row>
    <row r="944" ht="12.75" customHeight="1">
      <c r="U944" s="45"/>
    </row>
    <row r="945" ht="12.75" customHeight="1">
      <c r="U945" s="45"/>
    </row>
    <row r="946" ht="12.75" customHeight="1">
      <c r="U946" s="45"/>
    </row>
    <row r="947" ht="12.75" customHeight="1">
      <c r="U947" s="45"/>
    </row>
    <row r="948" ht="12.75" customHeight="1">
      <c r="U948" s="45"/>
    </row>
    <row r="949" ht="12.75" customHeight="1">
      <c r="U949" s="45"/>
    </row>
    <row r="950" ht="12.75" customHeight="1">
      <c r="U950" s="45"/>
    </row>
    <row r="951" ht="12.75" customHeight="1">
      <c r="U951" s="45"/>
    </row>
    <row r="952" ht="12.75" customHeight="1">
      <c r="U952" s="45"/>
    </row>
    <row r="953" ht="12.75" customHeight="1">
      <c r="U953" s="45"/>
    </row>
    <row r="954" ht="12.75" customHeight="1">
      <c r="U954" s="45"/>
    </row>
    <row r="955" ht="12.75" customHeight="1">
      <c r="U955" s="45"/>
    </row>
    <row r="956" ht="12.75" customHeight="1">
      <c r="U956" s="45"/>
    </row>
    <row r="957" ht="12.75" customHeight="1">
      <c r="U957" s="45"/>
    </row>
    <row r="958" ht="12.75" customHeight="1">
      <c r="U958" s="45"/>
    </row>
    <row r="959" ht="12.75" customHeight="1">
      <c r="U959" s="45"/>
    </row>
    <row r="960" ht="12.75" customHeight="1">
      <c r="U960" s="45"/>
    </row>
    <row r="961" ht="12.75" customHeight="1">
      <c r="U961" s="45"/>
    </row>
    <row r="962" ht="12.75" customHeight="1">
      <c r="U962" s="45"/>
    </row>
    <row r="963" ht="12.75" customHeight="1">
      <c r="U963" s="45"/>
    </row>
    <row r="964" ht="12.75" customHeight="1">
      <c r="U964" s="45"/>
    </row>
    <row r="965" ht="12.75" customHeight="1">
      <c r="U965" s="45"/>
    </row>
    <row r="966" ht="12.75" customHeight="1">
      <c r="U966" s="45"/>
    </row>
    <row r="967" ht="12.75" customHeight="1">
      <c r="U967" s="45"/>
    </row>
    <row r="968" ht="12.75" customHeight="1">
      <c r="U968" s="45"/>
    </row>
    <row r="969" ht="12.75" customHeight="1">
      <c r="U969" s="45"/>
    </row>
    <row r="970" ht="12.75" customHeight="1">
      <c r="U970" s="45"/>
    </row>
    <row r="971" ht="12.75" customHeight="1">
      <c r="U971" s="45"/>
    </row>
    <row r="972" ht="12.75" customHeight="1">
      <c r="U972" s="45"/>
    </row>
    <row r="973" ht="12.75" customHeight="1">
      <c r="U973" s="45"/>
    </row>
    <row r="974" ht="12.75" customHeight="1">
      <c r="U974" s="45"/>
    </row>
    <row r="975" ht="12.75" customHeight="1">
      <c r="U975" s="45"/>
    </row>
    <row r="976" ht="12.75" customHeight="1">
      <c r="U976" s="45"/>
    </row>
    <row r="977" ht="12.75" customHeight="1">
      <c r="U977" s="45"/>
    </row>
    <row r="978" ht="12.75" customHeight="1">
      <c r="U978" s="45"/>
    </row>
    <row r="979" ht="12.75" customHeight="1">
      <c r="U979" s="45"/>
    </row>
    <row r="980" ht="12.75" customHeight="1">
      <c r="U980" s="45"/>
    </row>
    <row r="981" ht="12.75" customHeight="1">
      <c r="U981" s="45"/>
    </row>
    <row r="982" ht="12.75" customHeight="1">
      <c r="U982" s="45"/>
    </row>
    <row r="983" ht="12.75" customHeight="1">
      <c r="U983" s="45"/>
    </row>
    <row r="984" ht="12.75" customHeight="1">
      <c r="U984" s="45"/>
    </row>
    <row r="985" ht="12.75" customHeight="1">
      <c r="U985" s="45"/>
    </row>
    <row r="986" ht="12.75" customHeight="1">
      <c r="U986" s="45"/>
    </row>
    <row r="987" ht="12.75" customHeight="1">
      <c r="U987" s="45"/>
    </row>
    <row r="988" ht="12.75" customHeight="1">
      <c r="U988" s="45"/>
    </row>
    <row r="989" ht="12.75" customHeight="1">
      <c r="U989" s="45"/>
    </row>
    <row r="990" ht="12.75" customHeight="1">
      <c r="U990" s="45"/>
    </row>
    <row r="991" ht="12.75" customHeight="1">
      <c r="U991" s="45"/>
    </row>
    <row r="992" ht="12.75" customHeight="1">
      <c r="U992" s="45"/>
    </row>
    <row r="993" ht="12.75" customHeight="1">
      <c r="U993" s="45"/>
    </row>
    <row r="994" ht="12.75" customHeight="1">
      <c r="U994" s="45"/>
    </row>
    <row r="995" ht="12.75" customHeight="1">
      <c r="U995" s="45"/>
    </row>
    <row r="996" ht="12.75" customHeight="1">
      <c r="U996" s="45"/>
    </row>
    <row r="997" ht="12.75" customHeight="1">
      <c r="U997" s="45"/>
    </row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