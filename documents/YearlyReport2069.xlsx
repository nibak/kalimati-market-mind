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<sst xmlns="http://schemas.openxmlformats.org/spreadsheetml/2006/main" count="464" uniqueCount="144">
  <si>
    <t>Commodity</t>
  </si>
  <si>
    <t>Unit</t>
  </si>
  <si>
    <t>1 - 2069</t>
  </si>
  <si>
    <t>02 - 2069</t>
  </si>
  <si>
    <t>3 - 2069</t>
  </si>
  <si>
    <t>04 - 2069</t>
  </si>
  <si>
    <t>5 - 2069</t>
  </si>
  <si>
    <t>6 - 2069</t>
  </si>
  <si>
    <t>7 - 2069</t>
  </si>
  <si>
    <t>8 - 2069</t>
  </si>
  <si>
    <t>9 - 2069</t>
  </si>
  <si>
    <t>10 - 2069</t>
  </si>
  <si>
    <t>11 - 2069</t>
  </si>
  <si>
    <t>12 - 2069</t>
  </si>
  <si>
    <t>Annual</t>
  </si>
  <si>
    <t>Min</t>
  </si>
  <si>
    <t>Max</t>
  </si>
  <si>
    <t>Avg</t>
  </si>
  <si>
    <t>Tomato Big</t>
  </si>
  <si>
    <t>Kg</t>
  </si>
  <si>
    <t>Tomato Small</t>
  </si>
  <si>
    <t>Potato Red</t>
  </si>
  <si>
    <t>Potato White</t>
  </si>
  <si>
    <t>Lemon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</si>
  <si>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</si>
  <si>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</si>
  <si>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</si>
  <si>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</si>
  <si>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</si>
  <si>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</si>
  <si>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</si>
  <si>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</si>
  <si>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</si>
  <si>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</si>
  <si>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</si>
  <si>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</si>
  <si>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</si>
  <si>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</si>
  <si>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</si>
  <si>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</si>
  <si>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</si>
  <si>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</si>
  <si>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</si>
  <si>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</si>
  <si>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</si>
  <si>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</si>
  <si>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</si>
  <si>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</si>
  <si>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</si>
  <si>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</si>
  <si>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</si>
  <si>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</si>
  <si>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</si>
  <si>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Neuro</t>
  </si>
  <si>
    <t>Spinach Leaf</t>
  </si>
  <si>
    <t>Cress Leaf</t>
  </si>
  <si>
    <t>Mustard Leaf</t>
  </si>
  <si>
    <t>Fenugreek Leaf</t>
  </si>
  <si>
    <t>Sweet Lime</t>
  </si>
  <si>
    <t>Onion Green</t>
  </si>
  <si>
    <t>Bakula</t>
  </si>
  <si>
    <t>Yam</t>
  </si>
  <si>
    <t>Mushroom</t>
  </si>
  <si>
    <t>Asparagus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</si>
  <si>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</si>
  <si>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</si>
  <si>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</si>
  <si>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</si>
  <si>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</si>
  <si>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</si>
  <si>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</si>
  <si>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</si>
  <si>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</si>
  <si>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Jack Fruit</t>
  </si>
  <si>
    <t>Fennel Leaf</t>
  </si>
  <si>
    <t>Mint</t>
  </si>
  <si>
    <t>Turnip A</t>
  </si>
  <si>
    <t>Maize</t>
  </si>
  <si>
    <t>Tamarine</t>
  </si>
  <si>
    <t>Bamboo Shoot</t>
  </si>
  <si>
    <t>Tofu</t>
  </si>
  <si>
    <t>Gundruk</t>
  </si>
  <si>
    <t>Apple</t>
  </si>
  <si>
    <t>Banana</t>
  </si>
  <si>
    <t>Doz</t>
  </si>
  <si>
    <t>Lime</t>
  </si>
  <si>
    <t>100 Pcs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</si>
  <si>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</si>
  <si>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</si>
  <si>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</si>
  <si>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</si>
  <si>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</si>
  <si>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</si>
  <si>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</si>
  <si>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</si>
  <si>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1 Pc</t>
  </si>
  <si>
    <t>Cucumber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</si>
  <si>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</si>
  <si>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</si>
  <si>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</si>
  <si>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</si>
  <si>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</si>
  <si>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</si>
  <si>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</si>
  <si>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</si>
  <si>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</si>
  <si>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</si>
  <si>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</si>
  <si>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</si>
  <si>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</si>
  <si>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</si>
  <si>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</si>
  <si>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</si>
  <si>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</si>
  <si>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</si>
  <si>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</si>
  <si>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</si>
  <si>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</si>
  <si>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</si>
  <si>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</si>
  <si>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</si>
  <si>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</si>
  <si>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</si>
  <si>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</si>
  <si>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</si>
  <si>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</si>
  <si>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</si>
  <si>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</si>
  <si>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</si>
  <si>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</si>
  <si>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 xml:space="preserve">Lalitpur  </t>
  </si>
  <si>
    <t>Lamjung</t>
  </si>
  <si>
    <t>Makwanpur</t>
  </si>
  <si>
    <t>Morang</t>
  </si>
  <si>
    <t>Nuwakot</t>
  </si>
  <si>
    <t>Parsa</t>
  </si>
  <si>
    <t>Rautahat</t>
  </si>
  <si>
    <t>Sarlahi</t>
  </si>
  <si>
    <t>Sunsari</t>
  </si>
  <si>
    <t>Tanahun</t>
  </si>
  <si>
    <t>India</t>
  </si>
  <si>
    <t>Tibet</t>
  </si>
  <si>
    <t>Percent</t>
  </si>
  <si>
    <t>G/Total: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</si>
</sst>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8.0"/>
      <color theme="1"/>
      <name val="Arial"/>
    </font>
    <font>
      <sz val="10.0"/>
      <color theme="1"/>
      <name val="Ramesh"/>
    </font>
    <font>
      <b/>
      <sz val="9.0"/>
      <color theme="1"/>
      <name val="Mali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left"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7" fillId="0" fontId="12" numFmtId="2" xfId="0" applyAlignment="1" applyBorder="1" applyFont="1" applyNumberFormat="1">
      <alignment shrinkToFit="0" vertical="bottom" wrapText="0"/>
    </xf>
    <xf borderId="8" fillId="0" fontId="12" numFmtId="2" xfId="0" applyAlignment="1" applyBorder="1" applyFont="1" applyNumberFormat="1">
      <alignment shrinkToFit="0" vertical="bottom" wrapText="0"/>
    </xf>
    <xf borderId="5" fillId="0" fontId="13" numFmtId="2" xfId="0" applyAlignment="1" applyBorder="1" applyFont="1" applyNumberFormat="1">
      <alignment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9" fillId="0" fontId="11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shrinkToFit="0" vertical="bottom" wrapText="0"/>
    </xf>
    <xf borderId="8" fillId="0" fontId="13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horizontal="center" shrinkToFit="0" vertical="bottom" wrapText="0"/>
    </xf>
    <xf borderId="9" fillId="3" fontId="11" numFmtId="0" xfId="0" applyAlignment="1" applyBorder="1" applyFill="1" applyFont="1">
      <alignment shrinkToFit="0" vertical="bottom" wrapText="0"/>
    </xf>
    <xf borderId="7" fillId="3" fontId="12" numFmtId="0" xfId="0" applyAlignment="1" applyBorder="1" applyFont="1">
      <alignment shrinkToFit="0" vertical="bottom" wrapText="0"/>
    </xf>
    <xf borderId="8" fillId="3" fontId="13" numFmtId="0" xfId="0" applyAlignment="1" applyBorder="1" applyFont="1">
      <alignment shrinkToFit="0" vertical="bottom" wrapText="0"/>
    </xf>
    <xf borderId="11" fillId="3" fontId="11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shrinkToFit="0" vertical="center" wrapText="0"/>
    </xf>
    <xf borderId="7" fillId="0" fontId="12" numFmtId="1" xfId="0" applyAlignment="1" applyBorder="1" applyFont="1" applyNumberFormat="1">
      <alignment shrinkToFit="0" vertical="bottom" wrapText="0"/>
    </xf>
    <xf borderId="7" fillId="4" fontId="12" numFmtId="1" xfId="0" applyAlignment="1" applyBorder="1" applyFont="1" applyNumberFormat="1">
      <alignment shrinkToFit="0" vertical="bottom" wrapText="0"/>
    </xf>
    <xf borderId="7" fillId="0" fontId="15" numFmtId="1" xfId="0" applyAlignment="1" applyBorder="1" applyFont="1" applyNumberFormat="1">
      <alignment shrinkToFit="0" vertical="bottom" wrapText="0"/>
    </xf>
    <xf borderId="7" fillId="4" fontId="15" numFmtId="1" xfId="0" applyAlignment="1" applyBorder="1" applyFont="1" applyNumberFormat="1">
      <alignment shrinkToFit="0" vertical="bottom" wrapText="0"/>
    </xf>
    <xf borderId="7" fillId="0" fontId="15" numFmtId="2" xfId="0" applyAlignment="1" applyBorder="1" applyFont="1" applyNumberFormat="1">
      <alignment shrinkToFit="0" vertical="bottom" wrapText="0"/>
    </xf>
    <xf borderId="9" fillId="4" fontId="11" numFmtId="0" xfId="0" applyAlignment="1" applyBorder="1" applyFont="1">
      <alignment shrinkToFit="0" vertical="bottom" wrapText="0"/>
    </xf>
    <xf borderId="7" fillId="4" fontId="11" numFmtId="1" xfId="0" applyAlignment="1" applyBorder="1" applyFont="1" applyNumberFormat="1">
      <alignment readingOrder="0" shrinkToFit="0" vertical="bottom" wrapText="0"/>
    </xf>
    <xf borderId="7" fillId="4" fontId="11" numFmtId="0" xfId="0" applyAlignment="1" applyBorder="1" applyFont="1">
      <alignment shrinkToFit="0" vertical="bottom" wrapText="0"/>
    </xf>
    <xf borderId="7" fillId="0" fontId="11" numFmtId="0" xfId="0" applyAlignment="1" applyBorder="1" applyFont="1">
      <alignment shrinkToFit="0" vertical="bottom" wrapText="0"/>
    </xf>
    <xf borderId="7" fillId="4" fontId="15" numFmtId="2" xfId="0" applyAlignment="1" applyBorder="1" applyFont="1" applyNumberFormat="1">
      <alignment shrinkToFit="0" vertical="bottom" wrapText="0"/>
    </xf>
    <xf borderId="11" fillId="4" fontId="11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7.88"/>
    <col customWidth="1" min="3" max="4" width="8.0"/>
    <col customWidth="1" min="5" max="5" width="7.88"/>
    <col customWidth="1" min="6" max="6" width="8.0"/>
    <col customWidth="1" min="7" max="7" width="8.25"/>
    <col customWidth="1" min="8" max="8" width="7.75"/>
    <col customWidth="1" min="9" max="10" width="8.0"/>
    <col customWidth="1" min="11" max="11" width="8.13"/>
    <col customWidth="1" min="12" max="13" width="8.0"/>
    <col customWidth="1" min="14" max="14" width="7.88"/>
    <col customWidth="1" min="15" max="16" width="8.0"/>
    <col customWidth="1" min="17" max="17" width="7.88"/>
    <col customWidth="1" min="18" max="19" width="8.0"/>
    <col customWidth="1" min="20" max="20" width="7.75"/>
    <col customWidth="1" min="21" max="21" width="8.0"/>
    <col customWidth="1" min="22" max="22" width="8.25"/>
    <col customWidth="1" min="23" max="23" width="7.75"/>
    <col customWidth="1" min="24" max="24" width="8.0"/>
    <col customWidth="1" min="25" max="25" width="8.25"/>
    <col customWidth="1" min="26" max="26" width="7.75"/>
    <col customWidth="1" min="27" max="27" width="7.88"/>
    <col customWidth="1" min="28" max="28" width="8.25"/>
    <col customWidth="1" min="29" max="29" width="8.13"/>
    <col customWidth="1" min="30" max="30" width="8.0"/>
    <col customWidth="1" min="31" max="31" width="8.25"/>
    <col customWidth="1" min="32" max="33" width="8.0"/>
    <col customWidth="1" min="34" max="34" width="8.25"/>
    <col customWidth="1" min="35" max="35" width="7.88"/>
    <col customWidth="1" min="36" max="36" width="8.0"/>
    <col customWidth="1" min="37" max="37" width="8.25"/>
    <col customWidth="1" min="38" max="38" width="7.88"/>
    <col customWidth="1" min="39" max="39" width="8.88"/>
    <col customWidth="1" min="40" max="40" width="9.0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26.0</v>
      </c>
      <c r="D4" s="16">
        <v>45.0</v>
      </c>
      <c r="E4" s="16">
        <v>35.6263636363636</v>
      </c>
      <c r="F4" s="16">
        <v>26.0</v>
      </c>
      <c r="G4" s="16">
        <v>100.0</v>
      </c>
      <c r="H4" s="16">
        <v>45.9123076923077</v>
      </c>
      <c r="I4" s="16">
        <v>18.0</v>
      </c>
      <c r="J4" s="16">
        <v>42.0</v>
      </c>
      <c r="K4" s="16">
        <v>30.278</v>
      </c>
      <c r="L4" s="16">
        <v>32.0</v>
      </c>
      <c r="M4" s="16">
        <v>70.0</v>
      </c>
      <c r="N4" s="16">
        <v>47.94</v>
      </c>
      <c r="O4" s="16">
        <v>24.0</v>
      </c>
      <c r="P4" s="16">
        <v>58.0</v>
      </c>
      <c r="Q4" s="16">
        <v>37.776</v>
      </c>
      <c r="R4" s="16">
        <v>18.0</v>
      </c>
      <c r="S4" s="16">
        <v>40.0</v>
      </c>
      <c r="T4" s="16">
        <v>27.4268</v>
      </c>
      <c r="U4" s="16">
        <v>24.0</v>
      </c>
      <c r="V4" s="16">
        <v>40.0</v>
      </c>
      <c r="W4" s="16">
        <v>31.865</v>
      </c>
      <c r="X4" s="16">
        <v>25.0</v>
      </c>
      <c r="Y4" s="16">
        <v>40.0</v>
      </c>
      <c r="Z4" s="16">
        <v>32.8541666666667</v>
      </c>
      <c r="AA4" s="16">
        <v>18.0</v>
      </c>
      <c r="AB4" s="16">
        <v>42.0</v>
      </c>
      <c r="AC4" s="16">
        <v>28.0036363636364</v>
      </c>
      <c r="AD4" s="16">
        <v>22.0</v>
      </c>
      <c r="AE4" s="16">
        <v>50.0</v>
      </c>
      <c r="AF4" s="16">
        <v>31.0954545454545</v>
      </c>
      <c r="AG4" s="16">
        <v>20.0</v>
      </c>
      <c r="AH4" s="16">
        <v>40.0</v>
      </c>
      <c r="AI4" s="16">
        <v>27.6095238095238</v>
      </c>
      <c r="AJ4" s="16">
        <v>18.0</v>
      </c>
      <c r="AK4" s="16">
        <v>48.0</v>
      </c>
      <c r="AL4" s="17">
        <v>31.3752173913043</v>
      </c>
      <c r="AM4" s="18">
        <f t="shared" ref="AM4:AM98" si="1">MIN(AJ4,AG4,AD4,AA4,X4,U4,R4,O4,L4,I4,F4,C4)</f>
        <v>18</v>
      </c>
      <c r="AN4" s="18">
        <f t="shared" ref="AN4:AN98" si="2">MAX(AK4,AH4,AE4,AB4,Y4,V4,S4,P4,M4,J4,G4,D4)</f>
        <v>100</v>
      </c>
      <c r="AO4" s="18">
        <f t="shared" ref="AO4:AO98" si="3">AVERAGE(AL4,AI4,AF4,AC4,Z4,W4,T4,Q4,N4,K4,H4,E4)</f>
        <v>33.98020584</v>
      </c>
    </row>
    <row r="5" ht="15.75" customHeight="1">
      <c r="A5" s="14" t="s">
        <v>20</v>
      </c>
      <c r="B5" s="15" t="s">
        <v>19</v>
      </c>
      <c r="C5" s="16">
        <v>15.0</v>
      </c>
      <c r="D5" s="16">
        <v>38.0</v>
      </c>
      <c r="E5" s="16">
        <v>26.2090909090909</v>
      </c>
      <c r="F5" s="16">
        <v>20.0</v>
      </c>
      <c r="G5" s="16">
        <v>45.0</v>
      </c>
      <c r="H5" s="16">
        <v>30.6555555555556</v>
      </c>
      <c r="I5" s="16">
        <v>20.0</v>
      </c>
      <c r="J5" s="16">
        <v>42.0</v>
      </c>
      <c r="K5" s="16">
        <v>30.176</v>
      </c>
      <c r="L5" s="16">
        <v>28.0</v>
      </c>
      <c r="M5" s="16">
        <v>65.0</v>
      </c>
      <c r="N5" s="16">
        <v>40.92</v>
      </c>
      <c r="O5" s="16">
        <v>22.0</v>
      </c>
      <c r="P5" s="16">
        <v>50.0</v>
      </c>
      <c r="Q5" s="16">
        <v>36.088</v>
      </c>
      <c r="R5" s="16">
        <v>20.0</v>
      </c>
      <c r="S5" s="16">
        <v>45.0</v>
      </c>
      <c r="T5" s="16">
        <v>29.578</v>
      </c>
      <c r="U5" s="16">
        <v>25.0</v>
      </c>
      <c r="V5" s="16">
        <v>50.0</v>
      </c>
      <c r="W5" s="16">
        <v>35.9583333333333</v>
      </c>
      <c r="X5" s="16">
        <v>16.0</v>
      </c>
      <c r="Y5" s="16">
        <v>50.0</v>
      </c>
      <c r="Z5" s="16">
        <v>35.6608333333333</v>
      </c>
      <c r="AA5" s="16">
        <v>16.0</v>
      </c>
      <c r="AB5" s="16">
        <v>40.0</v>
      </c>
      <c r="AC5" s="16">
        <v>24.7045454545455</v>
      </c>
      <c r="AD5" s="16">
        <v>10.0</v>
      </c>
      <c r="AE5" s="16">
        <v>38.0</v>
      </c>
      <c r="AF5" s="16">
        <v>19.4636363636364</v>
      </c>
      <c r="AG5" s="16">
        <v>8.0</v>
      </c>
      <c r="AH5" s="16">
        <v>45.0</v>
      </c>
      <c r="AI5" s="16">
        <v>20.53</v>
      </c>
      <c r="AJ5" s="16">
        <v>10.0</v>
      </c>
      <c r="AK5" s="16">
        <v>66.0</v>
      </c>
      <c r="AL5" s="17">
        <v>37.3326086956522</v>
      </c>
      <c r="AM5" s="18">
        <f t="shared" si="1"/>
        <v>8</v>
      </c>
      <c r="AN5" s="18">
        <f t="shared" si="2"/>
        <v>66</v>
      </c>
      <c r="AO5" s="18">
        <f t="shared" si="3"/>
        <v>30.60638364</v>
      </c>
    </row>
    <row r="6" ht="15.75" customHeight="1">
      <c r="A6" s="14" t="s">
        <v>21</v>
      </c>
      <c r="B6" s="15" t="s">
        <v>19</v>
      </c>
      <c r="C6" s="16">
        <v>18.0</v>
      </c>
      <c r="D6" s="16">
        <v>24.0</v>
      </c>
      <c r="E6" s="16">
        <v>21.5818181818182</v>
      </c>
      <c r="F6" s="16">
        <v>22.0</v>
      </c>
      <c r="G6" s="16">
        <v>26.0</v>
      </c>
      <c r="H6" s="16">
        <v>24.7544444444444</v>
      </c>
      <c r="I6" s="16">
        <v>24.0</v>
      </c>
      <c r="J6" s="16">
        <v>34.0</v>
      </c>
      <c r="K6" s="16">
        <v>29.784</v>
      </c>
      <c r="L6" s="16">
        <v>28.0</v>
      </c>
      <c r="M6" s="16">
        <v>34.0</v>
      </c>
      <c r="N6" s="16">
        <v>30.648</v>
      </c>
      <c r="O6" s="16">
        <v>28.0</v>
      </c>
      <c r="P6" s="16">
        <v>35.0</v>
      </c>
      <c r="Q6" s="16">
        <v>31.148</v>
      </c>
      <c r="R6" s="16">
        <v>28.0</v>
      </c>
      <c r="S6" s="16">
        <v>36.0</v>
      </c>
      <c r="T6" s="16">
        <v>32.396</v>
      </c>
      <c r="U6" s="16">
        <v>26.0</v>
      </c>
      <c r="V6" s="16">
        <v>37.0</v>
      </c>
      <c r="W6" s="16">
        <v>32.1441666666667</v>
      </c>
      <c r="X6" s="16">
        <v>32.0</v>
      </c>
      <c r="Y6" s="16">
        <v>40.0</v>
      </c>
      <c r="Z6" s="16">
        <v>35.1208333333333</v>
      </c>
      <c r="AA6" s="16">
        <v>19.0</v>
      </c>
      <c r="AB6" s="16">
        <v>35.0</v>
      </c>
      <c r="AC6" s="16">
        <v>24.0863636363636</v>
      </c>
      <c r="AD6" s="16">
        <v>19.0</v>
      </c>
      <c r="AE6" s="16">
        <v>22.0</v>
      </c>
      <c r="AF6" s="16">
        <v>21.0681818181818</v>
      </c>
      <c r="AG6" s="16">
        <v>17.0</v>
      </c>
      <c r="AH6" s="16">
        <v>20.0</v>
      </c>
      <c r="AI6" s="16">
        <v>18.452380952381</v>
      </c>
      <c r="AJ6" s="16">
        <v>16.0</v>
      </c>
      <c r="AK6" s="16">
        <v>18.0</v>
      </c>
      <c r="AL6" s="17">
        <v>16.8739130434783</v>
      </c>
      <c r="AM6" s="18">
        <f t="shared" si="1"/>
        <v>16</v>
      </c>
      <c r="AN6" s="18">
        <f t="shared" si="2"/>
        <v>40</v>
      </c>
      <c r="AO6" s="18">
        <f t="shared" si="3"/>
        <v>26.50484184</v>
      </c>
    </row>
    <row r="7" ht="15.75" customHeight="1">
      <c r="A7" s="14" t="s">
        <v>22</v>
      </c>
      <c r="B7" s="15" t="s">
        <v>19</v>
      </c>
      <c r="C7" s="16">
        <v>17.0</v>
      </c>
      <c r="D7" s="16">
        <v>20.0</v>
      </c>
      <c r="E7" s="16">
        <v>18.0795454545455</v>
      </c>
      <c r="F7" s="16">
        <v>16.0</v>
      </c>
      <c r="G7" s="16">
        <v>23.0</v>
      </c>
      <c r="H7" s="16">
        <v>20.6203703703704</v>
      </c>
      <c r="I7" s="16">
        <v>20.0</v>
      </c>
      <c r="J7" s="16">
        <v>30.0</v>
      </c>
      <c r="K7" s="16">
        <v>25.818</v>
      </c>
      <c r="L7" s="16">
        <v>26.0</v>
      </c>
      <c r="M7" s="16">
        <v>30.0</v>
      </c>
      <c r="N7" s="16">
        <v>27.9548</v>
      </c>
      <c r="O7" s="16">
        <v>25.0</v>
      </c>
      <c r="P7" s="16">
        <v>31.0</v>
      </c>
      <c r="Q7" s="16">
        <v>28.48</v>
      </c>
      <c r="R7" s="16">
        <v>24.0</v>
      </c>
      <c r="S7" s="16">
        <v>32.0</v>
      </c>
      <c r="T7" s="16">
        <v>28.234</v>
      </c>
      <c r="U7" s="16">
        <v>24.0</v>
      </c>
      <c r="V7" s="16">
        <v>32.0</v>
      </c>
      <c r="W7" s="16">
        <v>28.405652173913</v>
      </c>
      <c r="X7" s="16">
        <v>27.0</v>
      </c>
      <c r="Y7" s="16">
        <v>35.0</v>
      </c>
      <c r="Z7" s="16">
        <v>29.7116666666667</v>
      </c>
      <c r="AA7" s="16">
        <v>16.0</v>
      </c>
      <c r="AB7" s="16">
        <v>26.0</v>
      </c>
      <c r="AC7" s="16">
        <v>19.2454545454545</v>
      </c>
      <c r="AD7" s="16">
        <v>15.0</v>
      </c>
      <c r="AE7" s="16">
        <v>18.0</v>
      </c>
      <c r="AF7" s="16">
        <v>16.6577272727273</v>
      </c>
      <c r="AG7" s="16">
        <v>14.0</v>
      </c>
      <c r="AH7" s="16">
        <v>16.0</v>
      </c>
      <c r="AI7" s="16">
        <v>15.2095238095238</v>
      </c>
      <c r="AJ7" s="16">
        <v>14.0</v>
      </c>
      <c r="AK7" s="16">
        <v>16.0</v>
      </c>
      <c r="AL7" s="17">
        <v>14.5730434782609</v>
      </c>
      <c r="AM7" s="18">
        <f t="shared" si="1"/>
        <v>14</v>
      </c>
      <c r="AN7" s="18">
        <f t="shared" si="2"/>
        <v>35</v>
      </c>
      <c r="AO7" s="18">
        <f t="shared" si="3"/>
        <v>22.74914865</v>
      </c>
    </row>
    <row r="8" ht="15.75" customHeight="1">
      <c r="A8" s="14" t="s">
        <v>23</v>
      </c>
      <c r="B8" s="15" t="s">
        <v>19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>
        <v>30.0</v>
      </c>
      <c r="S8" s="16">
        <v>50.0</v>
      </c>
      <c r="T8" s="16">
        <v>41.7307692307692</v>
      </c>
      <c r="U8" s="16">
        <v>30.0</v>
      </c>
      <c r="V8" s="16">
        <v>60.0</v>
      </c>
      <c r="W8" s="16">
        <v>44.167</v>
      </c>
      <c r="X8" s="16">
        <v>30.0</v>
      </c>
      <c r="Y8" s="16">
        <v>50.0</v>
      </c>
      <c r="Z8" s="16">
        <v>41.03</v>
      </c>
      <c r="AA8" s="16">
        <v>30.0</v>
      </c>
      <c r="AB8" s="16">
        <v>50.0</v>
      </c>
      <c r="AC8" s="16">
        <v>35.5394117647059</v>
      </c>
      <c r="AD8" s="16">
        <v>40.0</v>
      </c>
      <c r="AE8" s="16">
        <v>60.0</v>
      </c>
      <c r="AF8" s="16">
        <v>46.175</v>
      </c>
      <c r="AG8" s="16">
        <v>30.0</v>
      </c>
      <c r="AH8" s="16">
        <v>50.0</v>
      </c>
      <c r="AI8" s="16">
        <v>41.334</v>
      </c>
      <c r="AJ8" s="16"/>
      <c r="AK8" s="16"/>
      <c r="AL8" s="17"/>
      <c r="AM8" s="18">
        <f t="shared" si="1"/>
        <v>30</v>
      </c>
      <c r="AN8" s="18">
        <f t="shared" si="2"/>
        <v>60</v>
      </c>
      <c r="AO8" s="18">
        <f t="shared" si="3"/>
        <v>41.66269683</v>
      </c>
    </row>
    <row r="9" ht="15.75" customHeight="1">
      <c r="A9" s="14" t="s">
        <v>24</v>
      </c>
      <c r="B9" s="15" t="s">
        <v>19</v>
      </c>
      <c r="C9" s="16">
        <v>16.0</v>
      </c>
      <c r="D9" s="16">
        <v>18.0</v>
      </c>
      <c r="E9" s="16">
        <v>17.0181818181818</v>
      </c>
      <c r="F9" s="16">
        <v>16.0</v>
      </c>
      <c r="G9" s="16">
        <v>26.0</v>
      </c>
      <c r="H9" s="16">
        <v>18.047037037037</v>
      </c>
      <c r="I9" s="16">
        <v>17.0</v>
      </c>
      <c r="J9" s="16">
        <v>20.0</v>
      </c>
      <c r="K9" s="16">
        <v>18.112</v>
      </c>
      <c r="L9" s="16">
        <v>19.0</v>
      </c>
      <c r="M9" s="16">
        <v>21.0</v>
      </c>
      <c r="N9" s="16">
        <v>19.632</v>
      </c>
      <c r="O9" s="16">
        <v>19.0</v>
      </c>
      <c r="P9" s="16">
        <v>22.0</v>
      </c>
      <c r="Q9" s="16">
        <v>20.326</v>
      </c>
      <c r="R9" s="16">
        <v>20.0</v>
      </c>
      <c r="S9" s="16">
        <v>25.0</v>
      </c>
      <c r="T9" s="16">
        <v>21.2308</v>
      </c>
      <c r="U9" s="16">
        <v>24.0</v>
      </c>
      <c r="V9" s="16">
        <v>30.0</v>
      </c>
      <c r="W9" s="16">
        <v>26.8404166666667</v>
      </c>
      <c r="X9" s="16">
        <v>25.0</v>
      </c>
      <c r="Y9" s="16">
        <v>38.0</v>
      </c>
      <c r="Z9" s="16">
        <v>34.1854166666667</v>
      </c>
      <c r="AA9" s="16">
        <v>28.0</v>
      </c>
      <c r="AB9" s="16">
        <v>35.0</v>
      </c>
      <c r="AC9" s="16">
        <v>31.6818181818182</v>
      </c>
      <c r="AD9" s="16">
        <v>31.0</v>
      </c>
      <c r="AE9" s="16">
        <v>55.0</v>
      </c>
      <c r="AF9" s="16">
        <v>41.2227272727273</v>
      </c>
      <c r="AG9" s="16">
        <v>28.0</v>
      </c>
      <c r="AH9" s="16">
        <v>45.0</v>
      </c>
      <c r="AI9" s="16">
        <v>34.7238095238095</v>
      </c>
      <c r="AJ9" s="16">
        <v>24.0</v>
      </c>
      <c r="AK9" s="16">
        <v>32.0</v>
      </c>
      <c r="AL9" s="17">
        <v>29.0434782608696</v>
      </c>
      <c r="AM9" s="18">
        <f t="shared" si="1"/>
        <v>16</v>
      </c>
      <c r="AN9" s="18">
        <f t="shared" si="2"/>
        <v>55</v>
      </c>
      <c r="AO9" s="18">
        <f t="shared" si="3"/>
        <v>26.00530712</v>
      </c>
    </row>
    <row r="10" ht="15.75" customHeight="1">
      <c r="A10" s="14" t="s">
        <v>25</v>
      </c>
      <c r="B10" s="15" t="s">
        <v>19</v>
      </c>
      <c r="C10" s="16">
        <v>20.0</v>
      </c>
      <c r="D10" s="16">
        <v>36.0</v>
      </c>
      <c r="E10" s="16">
        <v>28.5909090909091</v>
      </c>
      <c r="F10" s="16">
        <v>24.0</v>
      </c>
      <c r="G10" s="16">
        <v>40.0</v>
      </c>
      <c r="H10" s="16">
        <v>30.3530769230769</v>
      </c>
      <c r="I10" s="16">
        <v>30.0</v>
      </c>
      <c r="J10" s="16">
        <v>60.0</v>
      </c>
      <c r="K10" s="16">
        <v>46.944</v>
      </c>
      <c r="L10" s="16">
        <v>28.0</v>
      </c>
      <c r="M10" s="16">
        <v>60.0</v>
      </c>
      <c r="N10" s="16">
        <v>46.128</v>
      </c>
      <c r="O10" s="16">
        <v>40.0</v>
      </c>
      <c r="P10" s="16">
        <v>68.0</v>
      </c>
      <c r="Q10" s="16">
        <v>47.894</v>
      </c>
      <c r="R10" s="16">
        <v>40.0</v>
      </c>
      <c r="S10" s="16">
        <v>70.0</v>
      </c>
      <c r="T10" s="16">
        <v>52.1728</v>
      </c>
      <c r="U10" s="16">
        <v>40.0</v>
      </c>
      <c r="V10" s="16">
        <v>90.0</v>
      </c>
      <c r="W10" s="16">
        <v>55.9128571428571</v>
      </c>
      <c r="X10" s="16">
        <v>30.0</v>
      </c>
      <c r="Y10" s="16">
        <v>60.0</v>
      </c>
      <c r="Z10" s="16">
        <v>41.7704166666667</v>
      </c>
      <c r="AA10" s="16">
        <v>35.0</v>
      </c>
      <c r="AB10" s="16">
        <v>60.0</v>
      </c>
      <c r="AC10" s="16">
        <v>40.9913636363636</v>
      </c>
      <c r="AD10" s="16">
        <v>16.0</v>
      </c>
      <c r="AE10" s="16">
        <v>40.0</v>
      </c>
      <c r="AF10" s="16">
        <v>25.3195454545455</v>
      </c>
      <c r="AG10" s="16">
        <v>10.0</v>
      </c>
      <c r="AH10" s="16">
        <v>20.0</v>
      </c>
      <c r="AI10" s="16">
        <v>13.2066666666667</v>
      </c>
      <c r="AJ10" s="16">
        <v>10.0</v>
      </c>
      <c r="AK10" s="16">
        <v>20.0</v>
      </c>
      <c r="AL10" s="17">
        <v>16.184347826087</v>
      </c>
      <c r="AM10" s="18">
        <f t="shared" si="1"/>
        <v>10</v>
      </c>
      <c r="AN10" s="18">
        <f t="shared" si="2"/>
        <v>90</v>
      </c>
      <c r="AO10" s="18">
        <f t="shared" si="3"/>
        <v>37.12233195</v>
      </c>
    </row>
    <row r="11" ht="15.75" customHeight="1">
      <c r="A11" s="14" t="s">
        <v>26</v>
      </c>
      <c r="B11" s="15" t="s">
        <v>19</v>
      </c>
      <c r="C11" s="16">
        <v>10.0</v>
      </c>
      <c r="D11" s="16">
        <v>24.0</v>
      </c>
      <c r="E11" s="16">
        <v>17.0909090909091</v>
      </c>
      <c r="F11" s="16">
        <v>18.0</v>
      </c>
      <c r="G11" s="16">
        <v>46.0</v>
      </c>
      <c r="H11" s="16">
        <v>25.4344444444444</v>
      </c>
      <c r="I11" s="16">
        <v>26.0</v>
      </c>
      <c r="J11" s="16">
        <v>42.0</v>
      </c>
      <c r="K11" s="16">
        <v>34.31</v>
      </c>
      <c r="L11" s="16">
        <v>16.0</v>
      </c>
      <c r="M11" s="16">
        <v>32.0</v>
      </c>
      <c r="N11" s="16">
        <v>26.024</v>
      </c>
      <c r="O11" s="16">
        <v>16.0</v>
      </c>
      <c r="P11" s="16">
        <v>30.0</v>
      </c>
      <c r="Q11" s="16">
        <v>20.824</v>
      </c>
      <c r="R11" s="16">
        <v>18.0</v>
      </c>
      <c r="S11" s="16">
        <v>40.0</v>
      </c>
      <c r="T11" s="16">
        <v>27.8252</v>
      </c>
      <c r="U11" s="16">
        <v>18.0</v>
      </c>
      <c r="V11" s="16">
        <v>35.0</v>
      </c>
      <c r="W11" s="16">
        <v>24.25</v>
      </c>
      <c r="X11" s="16">
        <v>12.0</v>
      </c>
      <c r="Y11" s="16">
        <v>32.0</v>
      </c>
      <c r="Z11" s="16">
        <v>21.0916666666667</v>
      </c>
      <c r="AA11" s="16">
        <v>8.0</v>
      </c>
      <c r="AB11" s="16">
        <v>15.0</v>
      </c>
      <c r="AC11" s="16">
        <v>11.7336363636364</v>
      </c>
      <c r="AD11" s="16">
        <v>7.0</v>
      </c>
      <c r="AE11" s="16">
        <v>18.0</v>
      </c>
      <c r="AF11" s="16">
        <v>10.4704545454545</v>
      </c>
      <c r="AG11" s="16">
        <v>5.0</v>
      </c>
      <c r="AH11" s="16">
        <v>10.0</v>
      </c>
      <c r="AI11" s="16">
        <v>7.5119047619048</v>
      </c>
      <c r="AJ11" s="16">
        <v>6.0</v>
      </c>
      <c r="AK11" s="16">
        <v>12.0</v>
      </c>
      <c r="AL11" s="17">
        <v>7.9121739130435</v>
      </c>
      <c r="AM11" s="18">
        <f t="shared" si="1"/>
        <v>5</v>
      </c>
      <c r="AN11" s="18">
        <f t="shared" si="2"/>
        <v>46</v>
      </c>
      <c r="AO11" s="18">
        <f t="shared" si="3"/>
        <v>19.53986582</v>
      </c>
    </row>
    <row r="12" ht="15.75" customHeight="1">
      <c r="A12" s="14" t="s">
        <v>27</v>
      </c>
      <c r="B12" s="15" t="s">
        <v>19</v>
      </c>
      <c r="C12" s="16">
        <v>20.0</v>
      </c>
      <c r="D12" s="16">
        <v>40.0</v>
      </c>
      <c r="E12" s="16">
        <v>31.5181818181818</v>
      </c>
      <c r="F12" s="16">
        <v>25.0</v>
      </c>
      <c r="G12" s="16">
        <v>56.0</v>
      </c>
      <c r="H12" s="16">
        <v>36.5718518518519</v>
      </c>
      <c r="I12" s="16">
        <v>26.0</v>
      </c>
      <c r="J12" s="16">
        <v>56.0</v>
      </c>
      <c r="K12" s="16">
        <v>39.464</v>
      </c>
      <c r="L12" s="16">
        <v>16.0</v>
      </c>
      <c r="M12" s="16">
        <v>42.0</v>
      </c>
      <c r="N12" s="16">
        <v>30.524</v>
      </c>
      <c r="O12" s="16">
        <v>28.0</v>
      </c>
      <c r="P12" s="16">
        <v>60.0</v>
      </c>
      <c r="Q12" s="16">
        <v>43.18</v>
      </c>
      <c r="R12" s="16">
        <v>30.0</v>
      </c>
      <c r="S12" s="16">
        <v>75.0</v>
      </c>
      <c r="T12" s="16">
        <v>49.4888</v>
      </c>
      <c r="U12" s="16">
        <v>15.0</v>
      </c>
      <c r="V12" s="16">
        <v>45.0</v>
      </c>
      <c r="W12" s="16">
        <v>28.9470833333333</v>
      </c>
      <c r="X12" s="16">
        <v>10.0</v>
      </c>
      <c r="Y12" s="16">
        <v>35.0</v>
      </c>
      <c r="Z12" s="16">
        <v>19.7608333333333</v>
      </c>
      <c r="AA12" s="16">
        <v>12.0</v>
      </c>
      <c r="AB12" s="16">
        <v>38.0</v>
      </c>
      <c r="AC12" s="16">
        <v>20.5090909090909</v>
      </c>
      <c r="AD12" s="16">
        <v>13.0</v>
      </c>
      <c r="AE12" s="16">
        <v>45.0</v>
      </c>
      <c r="AF12" s="16">
        <v>23.6090909090909</v>
      </c>
      <c r="AG12" s="16">
        <v>10.0</v>
      </c>
      <c r="AH12" s="16">
        <v>20.0</v>
      </c>
      <c r="AI12" s="16">
        <v>14.5714285714286</v>
      </c>
      <c r="AJ12" s="16">
        <v>14.0</v>
      </c>
      <c r="AK12" s="16">
        <v>25.0</v>
      </c>
      <c r="AL12" s="17">
        <v>20.5530434782609</v>
      </c>
      <c r="AM12" s="18">
        <f t="shared" si="1"/>
        <v>10</v>
      </c>
      <c r="AN12" s="18">
        <f t="shared" si="2"/>
        <v>75</v>
      </c>
      <c r="AO12" s="18">
        <f t="shared" si="3"/>
        <v>29.89145035</v>
      </c>
    </row>
    <row r="13" ht="15.75" customHeight="1">
      <c r="A13" s="14" t="s">
        <v>28</v>
      </c>
      <c r="B13" s="15" t="s">
        <v>19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>
        <v>8.0</v>
      </c>
      <c r="Y13" s="16">
        <v>16.0</v>
      </c>
      <c r="Z13" s="16">
        <v>12.3608333333333</v>
      </c>
      <c r="AA13" s="16">
        <v>8.0</v>
      </c>
      <c r="AB13" s="16">
        <v>30.0</v>
      </c>
      <c r="AC13" s="16">
        <v>15.2814285714286</v>
      </c>
      <c r="AD13" s="16">
        <v>10.0</v>
      </c>
      <c r="AE13" s="16">
        <v>24.0</v>
      </c>
      <c r="AF13" s="16">
        <v>15.4727777777778</v>
      </c>
      <c r="AG13" s="16">
        <v>8.0</v>
      </c>
      <c r="AH13" s="16">
        <v>15.0</v>
      </c>
      <c r="AI13" s="16">
        <v>11.9195238095238</v>
      </c>
      <c r="AJ13" s="16">
        <v>10.0</v>
      </c>
      <c r="AK13" s="16">
        <v>20.0</v>
      </c>
      <c r="AL13" s="17">
        <v>16.2588888888889</v>
      </c>
      <c r="AM13" s="18">
        <f t="shared" si="1"/>
        <v>8</v>
      </c>
      <c r="AN13" s="18">
        <f t="shared" si="2"/>
        <v>30</v>
      </c>
      <c r="AO13" s="18">
        <f t="shared" si="3"/>
        <v>14.25869048</v>
      </c>
    </row>
    <row r="14" ht="15.75" customHeight="1">
      <c r="A14" s="14" t="s">
        <v>29</v>
      </c>
      <c r="B14" s="15" t="s">
        <v>19</v>
      </c>
      <c r="C14" s="16">
        <v>35.0</v>
      </c>
      <c r="D14" s="16">
        <v>45.0</v>
      </c>
      <c r="E14" s="16">
        <v>39.29125</v>
      </c>
      <c r="F14" s="16">
        <v>20.0</v>
      </c>
      <c r="G14" s="16">
        <v>34.0</v>
      </c>
      <c r="H14" s="16">
        <v>27.5</v>
      </c>
      <c r="I14" s="16"/>
      <c r="J14" s="16"/>
      <c r="K14" s="16"/>
      <c r="L14" s="16"/>
      <c r="M14" s="16"/>
      <c r="N14" s="16"/>
      <c r="O14" s="16"/>
      <c r="P14" s="16"/>
      <c r="Q14" s="16"/>
      <c r="R14" s="16">
        <v>22.0</v>
      </c>
      <c r="S14" s="16">
        <v>30.0</v>
      </c>
      <c r="T14" s="16">
        <v>27.3328571428571</v>
      </c>
      <c r="U14" s="16">
        <v>18.0</v>
      </c>
      <c r="V14" s="16">
        <v>30.0</v>
      </c>
      <c r="W14" s="16">
        <v>26.4161111111111</v>
      </c>
      <c r="X14" s="16">
        <v>18.0</v>
      </c>
      <c r="Y14" s="16">
        <v>30.0</v>
      </c>
      <c r="Z14" s="16">
        <v>23.6939130434783</v>
      </c>
      <c r="AA14" s="16">
        <v>24.0</v>
      </c>
      <c r="AB14" s="16">
        <v>40.0</v>
      </c>
      <c r="AC14" s="16">
        <v>31.4413636363636</v>
      </c>
      <c r="AD14" s="16">
        <v>12.0</v>
      </c>
      <c r="AE14" s="16">
        <v>40.0</v>
      </c>
      <c r="AF14" s="16">
        <v>32.2804545454545</v>
      </c>
      <c r="AG14" s="16">
        <v>20.0</v>
      </c>
      <c r="AH14" s="16">
        <v>40.0</v>
      </c>
      <c r="AI14" s="16">
        <v>28.037619047619</v>
      </c>
      <c r="AJ14" s="16">
        <v>25.0</v>
      </c>
      <c r="AK14" s="16">
        <v>40.0</v>
      </c>
      <c r="AL14" s="17">
        <v>30.8104347826087</v>
      </c>
      <c r="AM14" s="18">
        <f t="shared" si="1"/>
        <v>12</v>
      </c>
      <c r="AN14" s="18">
        <f t="shared" si="2"/>
        <v>45</v>
      </c>
      <c r="AO14" s="18">
        <f t="shared" si="3"/>
        <v>29.64488926</v>
      </c>
    </row>
    <row r="15" ht="15.75" customHeight="1">
      <c r="A15" s="14" t="s">
        <v>30</v>
      </c>
      <c r="B15" s="15" t="s">
        <v>19</v>
      </c>
      <c r="C15" s="16">
        <v>12.0</v>
      </c>
      <c r="D15" s="16">
        <v>28.0</v>
      </c>
      <c r="E15" s="16">
        <v>19.5386363636364</v>
      </c>
      <c r="F15" s="16">
        <v>16.0</v>
      </c>
      <c r="G15" s="16">
        <v>28.0</v>
      </c>
      <c r="H15" s="16">
        <v>21.5769230769231</v>
      </c>
      <c r="I15" s="16">
        <v>16.0</v>
      </c>
      <c r="J15" s="16">
        <v>60.0</v>
      </c>
      <c r="K15" s="16">
        <v>31.966</v>
      </c>
      <c r="L15" s="16">
        <v>14.0</v>
      </c>
      <c r="M15" s="16">
        <v>40.0</v>
      </c>
      <c r="N15" s="16">
        <v>23.824</v>
      </c>
      <c r="O15" s="16">
        <v>8.0</v>
      </c>
      <c r="P15" s="16">
        <v>18.0</v>
      </c>
      <c r="Q15" s="16">
        <v>11.636</v>
      </c>
      <c r="R15" s="16">
        <v>10.0</v>
      </c>
      <c r="S15" s="16">
        <v>20.0</v>
      </c>
      <c r="T15" s="16">
        <v>14.2112</v>
      </c>
      <c r="U15" s="16">
        <v>8.0</v>
      </c>
      <c r="V15" s="16">
        <v>25.0</v>
      </c>
      <c r="W15" s="16">
        <v>15.5845833333333</v>
      </c>
      <c r="X15" s="16">
        <v>10.0</v>
      </c>
      <c r="Y15" s="16">
        <v>28.0</v>
      </c>
      <c r="Z15" s="16">
        <v>16.47375</v>
      </c>
      <c r="AA15" s="16">
        <v>12.0</v>
      </c>
      <c r="AB15" s="16">
        <v>20.0</v>
      </c>
      <c r="AC15" s="16">
        <v>16.1036363636364</v>
      </c>
      <c r="AD15" s="16">
        <v>12.0</v>
      </c>
      <c r="AE15" s="16">
        <v>44.0</v>
      </c>
      <c r="AF15" s="16">
        <v>17.5636363636364</v>
      </c>
      <c r="AG15" s="16">
        <v>10.0</v>
      </c>
      <c r="AH15" s="16">
        <v>30.0</v>
      </c>
      <c r="AI15" s="16">
        <v>14.1090476190476</v>
      </c>
      <c r="AJ15" s="16">
        <v>12.0</v>
      </c>
      <c r="AK15" s="16">
        <v>115.0</v>
      </c>
      <c r="AL15" s="17">
        <v>17.9913043478261</v>
      </c>
      <c r="AM15" s="18">
        <f t="shared" si="1"/>
        <v>8</v>
      </c>
      <c r="AN15" s="18">
        <f t="shared" si="2"/>
        <v>115</v>
      </c>
      <c r="AO15" s="18">
        <f t="shared" si="3"/>
        <v>18.38155979</v>
      </c>
    </row>
    <row r="16" ht="15.75" customHeight="1">
      <c r="A16" s="14" t="s">
        <v>31</v>
      </c>
      <c r="B16" s="15" t="s">
        <v>19</v>
      </c>
      <c r="C16" s="16">
        <v>20.0</v>
      </c>
      <c r="D16" s="16">
        <v>32.0</v>
      </c>
      <c r="E16" s="16">
        <v>26.15</v>
      </c>
      <c r="F16" s="16">
        <v>15.0</v>
      </c>
      <c r="G16" s="16">
        <v>34.0</v>
      </c>
      <c r="H16" s="16">
        <v>23.3207407407407</v>
      </c>
      <c r="I16" s="16">
        <v>28.0</v>
      </c>
      <c r="J16" s="16">
        <v>40.0</v>
      </c>
      <c r="K16" s="16">
        <v>32.912</v>
      </c>
      <c r="L16" s="16">
        <v>12.0</v>
      </c>
      <c r="M16" s="16">
        <v>36.0</v>
      </c>
      <c r="N16" s="16">
        <v>23.208</v>
      </c>
      <c r="O16" s="16">
        <v>8.0</v>
      </c>
      <c r="P16" s="16">
        <v>16.0</v>
      </c>
      <c r="Q16" s="16">
        <v>11.576</v>
      </c>
      <c r="R16" s="16">
        <v>12.0</v>
      </c>
      <c r="S16" s="16">
        <v>32.0</v>
      </c>
      <c r="T16" s="16">
        <v>23.0752</v>
      </c>
      <c r="U16" s="16">
        <v>8.0</v>
      </c>
      <c r="V16" s="16">
        <v>30.0</v>
      </c>
      <c r="W16" s="16">
        <v>17.1085714285714</v>
      </c>
      <c r="X16" s="16">
        <v>8.0</v>
      </c>
      <c r="Y16" s="16">
        <v>20.0</v>
      </c>
      <c r="Z16" s="16">
        <v>13.40375</v>
      </c>
      <c r="AA16" s="16">
        <v>10.0</v>
      </c>
      <c r="AB16" s="16">
        <v>35.0</v>
      </c>
      <c r="AC16" s="16">
        <v>21.4068181818182</v>
      </c>
      <c r="AD16" s="16">
        <v>30.0</v>
      </c>
      <c r="AE16" s="16">
        <v>50.0</v>
      </c>
      <c r="AF16" s="16">
        <v>39.02</v>
      </c>
      <c r="AG16" s="16">
        <v>25.0</v>
      </c>
      <c r="AH16" s="16">
        <v>50.0</v>
      </c>
      <c r="AI16" s="16">
        <v>36.4119047619048</v>
      </c>
      <c r="AJ16" s="16">
        <v>16.0</v>
      </c>
      <c r="AK16" s="16">
        <v>40.0</v>
      </c>
      <c r="AL16" s="17">
        <v>24.6186956521739</v>
      </c>
      <c r="AM16" s="18">
        <f t="shared" si="1"/>
        <v>8</v>
      </c>
      <c r="AN16" s="18">
        <f t="shared" si="2"/>
        <v>50</v>
      </c>
      <c r="AO16" s="18">
        <f t="shared" si="3"/>
        <v>24.3509734</v>
      </c>
    </row>
    <row r="17" ht="15.75" customHeight="1">
      <c r="A17" s="14" t="s">
        <v>32</v>
      </c>
      <c r="B17" s="15" t="s">
        <v>19</v>
      </c>
      <c r="C17" s="16"/>
      <c r="D17" s="16"/>
      <c r="E17" s="16"/>
      <c r="F17" s="16">
        <v>32.0</v>
      </c>
      <c r="G17" s="16">
        <v>40.0</v>
      </c>
      <c r="H17" s="16">
        <v>36.1428571428571</v>
      </c>
      <c r="I17" s="16">
        <v>34.0</v>
      </c>
      <c r="J17" s="16">
        <v>42.0</v>
      </c>
      <c r="K17" s="16">
        <v>38.6</v>
      </c>
      <c r="L17" s="16">
        <v>24.0</v>
      </c>
      <c r="M17" s="16">
        <v>40.0</v>
      </c>
      <c r="N17" s="16">
        <v>31.78125</v>
      </c>
      <c r="O17" s="16">
        <v>12.0</v>
      </c>
      <c r="P17" s="16">
        <v>25.0</v>
      </c>
      <c r="Q17" s="16">
        <v>19.4695652173913</v>
      </c>
      <c r="R17" s="16">
        <v>18.0</v>
      </c>
      <c r="S17" s="16">
        <v>36.0</v>
      </c>
      <c r="T17" s="16">
        <v>26.030625</v>
      </c>
      <c r="U17" s="16">
        <v>16.0</v>
      </c>
      <c r="V17" s="16">
        <v>32.0</v>
      </c>
      <c r="W17" s="16">
        <v>23.0177777777778</v>
      </c>
      <c r="X17" s="16">
        <v>8.0</v>
      </c>
      <c r="Y17" s="16">
        <v>20.0</v>
      </c>
      <c r="Z17" s="16">
        <v>17.1</v>
      </c>
      <c r="AA17" s="16">
        <v>34.0</v>
      </c>
      <c r="AB17" s="16">
        <v>36.0</v>
      </c>
      <c r="AC17" s="16">
        <v>35.0</v>
      </c>
      <c r="AD17" s="16">
        <v>45.0</v>
      </c>
      <c r="AE17" s="16">
        <v>50.0</v>
      </c>
      <c r="AF17" s="16">
        <v>47.7766666666667</v>
      </c>
      <c r="AG17" s="16">
        <v>35.0</v>
      </c>
      <c r="AH17" s="16">
        <v>60.0</v>
      </c>
      <c r="AI17" s="16">
        <v>45.9514285714286</v>
      </c>
      <c r="AJ17" s="16">
        <v>28.0</v>
      </c>
      <c r="AK17" s="16">
        <v>55.0</v>
      </c>
      <c r="AL17" s="17">
        <v>37.453</v>
      </c>
      <c r="AM17" s="18">
        <f t="shared" si="1"/>
        <v>8</v>
      </c>
      <c r="AN17" s="18">
        <f t="shared" si="2"/>
        <v>60</v>
      </c>
      <c r="AO17" s="18">
        <f t="shared" si="3"/>
        <v>32.57483367</v>
      </c>
    </row>
    <row r="18" ht="15.75" customHeight="1">
      <c r="A18" s="14" t="s">
        <v>33</v>
      </c>
      <c r="B18" s="15" t="s">
        <v>19</v>
      </c>
      <c r="C18" s="16">
        <v>24.0</v>
      </c>
      <c r="D18" s="16">
        <v>110.0</v>
      </c>
      <c r="E18" s="16">
        <v>65.3442857142857</v>
      </c>
      <c r="F18" s="16">
        <v>18.0</v>
      </c>
      <c r="G18" s="16">
        <v>60.0</v>
      </c>
      <c r="H18" s="16">
        <v>34.8518518518519</v>
      </c>
      <c r="I18" s="16">
        <v>30.0</v>
      </c>
      <c r="J18" s="16">
        <v>65.0</v>
      </c>
      <c r="K18" s="16">
        <v>46.248</v>
      </c>
      <c r="L18" s="16">
        <v>22.0</v>
      </c>
      <c r="M18" s="16">
        <v>60.0</v>
      </c>
      <c r="N18" s="16">
        <v>43.102</v>
      </c>
      <c r="O18" s="16">
        <v>14.0</v>
      </c>
      <c r="P18" s="16">
        <v>35.0</v>
      </c>
      <c r="Q18" s="16">
        <v>21.848</v>
      </c>
      <c r="R18" s="16">
        <v>24.0</v>
      </c>
      <c r="S18" s="16">
        <v>70.0</v>
      </c>
      <c r="T18" s="16">
        <v>46.6652</v>
      </c>
      <c r="U18" s="16">
        <v>30.0</v>
      </c>
      <c r="V18" s="16">
        <v>60.0</v>
      </c>
      <c r="W18" s="16">
        <v>42.795</v>
      </c>
      <c r="X18" s="16">
        <v>35.0</v>
      </c>
      <c r="Y18" s="16">
        <v>60.0</v>
      </c>
      <c r="Z18" s="16">
        <v>46.0825</v>
      </c>
      <c r="AA18" s="16">
        <v>30.0</v>
      </c>
      <c r="AB18" s="16">
        <v>50.0</v>
      </c>
      <c r="AC18" s="16">
        <v>39.833</v>
      </c>
      <c r="AD18" s="16"/>
      <c r="AE18" s="16"/>
      <c r="AF18" s="16"/>
      <c r="AG18" s="16"/>
      <c r="AH18" s="16"/>
      <c r="AI18" s="16"/>
      <c r="AJ18" s="16">
        <v>50.0</v>
      </c>
      <c r="AK18" s="16">
        <v>160.0</v>
      </c>
      <c r="AL18" s="17">
        <v>98.2317391304348</v>
      </c>
      <c r="AM18" s="18">
        <f t="shared" si="1"/>
        <v>14</v>
      </c>
      <c r="AN18" s="18">
        <f t="shared" si="2"/>
        <v>160</v>
      </c>
      <c r="AO18" s="18">
        <f t="shared" si="3"/>
        <v>48.50015767</v>
      </c>
    </row>
    <row r="19" ht="15.75" customHeight="1">
      <c r="A19" s="14" t="s">
        <v>34</v>
      </c>
      <c r="B19" s="15" t="s">
        <v>19</v>
      </c>
      <c r="C19" s="16">
        <v>24.0</v>
      </c>
      <c r="D19" s="16">
        <v>60.0</v>
      </c>
      <c r="E19" s="16">
        <v>44.7322727272727</v>
      </c>
      <c r="F19" s="16">
        <v>32.0</v>
      </c>
      <c r="G19" s="16">
        <v>90.0</v>
      </c>
      <c r="H19" s="16">
        <v>53.6877777777778</v>
      </c>
      <c r="I19" s="16">
        <v>80.0</v>
      </c>
      <c r="J19" s="16">
        <v>90.0</v>
      </c>
      <c r="K19" s="16">
        <v>85.8325</v>
      </c>
      <c r="L19" s="16"/>
      <c r="M19" s="16"/>
      <c r="N19" s="16"/>
      <c r="O19" s="16"/>
      <c r="P19" s="16"/>
      <c r="Q19" s="16"/>
      <c r="R19" s="16">
        <v>80.0</v>
      </c>
      <c r="S19" s="16">
        <v>160.0</v>
      </c>
      <c r="T19" s="16">
        <v>113.5188888888889</v>
      </c>
      <c r="U19" s="16">
        <v>50.0</v>
      </c>
      <c r="V19" s="16">
        <v>120.0</v>
      </c>
      <c r="W19" s="16">
        <v>77.7463636363636</v>
      </c>
      <c r="X19" s="16">
        <v>50.0</v>
      </c>
      <c r="Y19" s="16">
        <v>110.0</v>
      </c>
      <c r="Z19" s="16">
        <v>75.8878260869565</v>
      </c>
      <c r="AA19" s="16">
        <v>32.0</v>
      </c>
      <c r="AB19" s="16">
        <v>60.0</v>
      </c>
      <c r="AC19" s="16">
        <v>44.215</v>
      </c>
      <c r="AD19" s="16">
        <v>24.0</v>
      </c>
      <c r="AE19" s="16">
        <v>62.0</v>
      </c>
      <c r="AF19" s="16">
        <v>35.7090909090909</v>
      </c>
      <c r="AG19" s="16">
        <v>16.0</v>
      </c>
      <c r="AH19" s="16">
        <v>45.0</v>
      </c>
      <c r="AI19" s="16">
        <v>31.5561904761905</v>
      </c>
      <c r="AJ19" s="16">
        <v>25.0</v>
      </c>
      <c r="AK19" s="16">
        <v>60.0</v>
      </c>
      <c r="AL19" s="17">
        <v>43.4795652173913</v>
      </c>
      <c r="AM19" s="18">
        <f t="shared" si="1"/>
        <v>16</v>
      </c>
      <c r="AN19" s="18">
        <f t="shared" si="2"/>
        <v>160</v>
      </c>
      <c r="AO19" s="18">
        <f t="shared" si="3"/>
        <v>60.63654757</v>
      </c>
    </row>
    <row r="20" ht="15.75" customHeight="1">
      <c r="A20" s="14" t="s">
        <v>35</v>
      </c>
      <c r="B20" s="15" t="s">
        <v>19</v>
      </c>
      <c r="C20" s="16">
        <v>30.0</v>
      </c>
      <c r="D20" s="16">
        <v>60.0</v>
      </c>
      <c r="E20" s="16">
        <v>42.6</v>
      </c>
      <c r="F20" s="16">
        <v>20.0</v>
      </c>
      <c r="G20" s="16">
        <v>72.0</v>
      </c>
      <c r="H20" s="16">
        <v>37.0</v>
      </c>
      <c r="I20" s="16">
        <v>40.0</v>
      </c>
      <c r="J20" s="16">
        <v>100.0</v>
      </c>
      <c r="K20" s="16">
        <v>59.072</v>
      </c>
      <c r="L20" s="16">
        <v>38.0</v>
      </c>
      <c r="M20" s="16">
        <v>65.0</v>
      </c>
      <c r="N20" s="16">
        <v>51.88</v>
      </c>
      <c r="O20" s="16">
        <v>18.0</v>
      </c>
      <c r="P20" s="16">
        <v>50.0</v>
      </c>
      <c r="Q20" s="16">
        <v>26.652</v>
      </c>
      <c r="R20" s="16">
        <v>28.0</v>
      </c>
      <c r="S20" s="16">
        <v>65.0</v>
      </c>
      <c r="T20" s="16">
        <v>44.7708</v>
      </c>
      <c r="U20" s="16">
        <v>12.0</v>
      </c>
      <c r="V20" s="16">
        <v>35.0</v>
      </c>
      <c r="W20" s="16">
        <v>20.8120833333333</v>
      </c>
      <c r="X20" s="16">
        <v>24.0</v>
      </c>
      <c r="Y20" s="16">
        <v>65.0</v>
      </c>
      <c r="Z20" s="16">
        <v>45.35125</v>
      </c>
      <c r="AA20" s="16">
        <v>35.0</v>
      </c>
      <c r="AB20" s="16">
        <v>65.0</v>
      </c>
      <c r="AC20" s="16">
        <v>45.4977272727273</v>
      </c>
      <c r="AD20" s="16">
        <v>35.0</v>
      </c>
      <c r="AE20" s="16">
        <v>80.0</v>
      </c>
      <c r="AF20" s="16">
        <v>55.0340909090909</v>
      </c>
      <c r="AG20" s="16">
        <v>25.0</v>
      </c>
      <c r="AH20" s="16">
        <v>90.0</v>
      </c>
      <c r="AI20" s="16">
        <v>61.3538095238095</v>
      </c>
      <c r="AJ20" s="16">
        <v>24.0</v>
      </c>
      <c r="AK20" s="16">
        <v>40.0</v>
      </c>
      <c r="AL20" s="17">
        <v>31.254347826087</v>
      </c>
      <c r="AM20" s="18">
        <f t="shared" si="1"/>
        <v>12</v>
      </c>
      <c r="AN20" s="18">
        <f t="shared" si="2"/>
        <v>100</v>
      </c>
      <c r="AO20" s="18">
        <f t="shared" si="3"/>
        <v>43.43984241</v>
      </c>
    </row>
    <row r="21" ht="15.75" customHeight="1">
      <c r="A21" s="14" t="s">
        <v>36</v>
      </c>
      <c r="B21" s="15" t="s">
        <v>19</v>
      </c>
      <c r="C21" s="16"/>
      <c r="D21" s="16"/>
      <c r="E21" s="16"/>
      <c r="F21" s="16"/>
      <c r="G21" s="16"/>
      <c r="H21" s="16"/>
      <c r="I21" s="16">
        <v>90.0</v>
      </c>
      <c r="J21" s="16">
        <v>110.0</v>
      </c>
      <c r="K21" s="16">
        <v>100.0</v>
      </c>
      <c r="L21" s="16">
        <v>95.0</v>
      </c>
      <c r="M21" s="16">
        <v>115.0</v>
      </c>
      <c r="N21" s="16">
        <v>105.0</v>
      </c>
      <c r="O21" s="16">
        <v>70.0</v>
      </c>
      <c r="P21" s="16">
        <v>100.0</v>
      </c>
      <c r="Q21" s="16">
        <v>87.6665</v>
      </c>
      <c r="R21" s="16">
        <v>50.0</v>
      </c>
      <c r="S21" s="16">
        <v>100.0</v>
      </c>
      <c r="T21" s="16">
        <v>78.0722727272727</v>
      </c>
      <c r="U21" s="16">
        <v>35.0</v>
      </c>
      <c r="V21" s="16">
        <v>80.0</v>
      </c>
      <c r="W21" s="16">
        <v>55.5681818181818</v>
      </c>
      <c r="X21" s="16">
        <v>28.0</v>
      </c>
      <c r="Y21" s="16">
        <v>60.0</v>
      </c>
      <c r="Z21" s="16">
        <v>45.9865217391304</v>
      </c>
      <c r="AA21" s="16">
        <v>24.0</v>
      </c>
      <c r="AB21" s="16">
        <v>45.0</v>
      </c>
      <c r="AC21" s="16">
        <v>33.3631818181818</v>
      </c>
      <c r="AD21" s="16">
        <v>38.0</v>
      </c>
      <c r="AE21" s="16">
        <v>60.0</v>
      </c>
      <c r="AF21" s="16">
        <v>42.9536363636364</v>
      </c>
      <c r="AG21" s="16">
        <v>45.0</v>
      </c>
      <c r="AH21" s="16">
        <v>65.0</v>
      </c>
      <c r="AI21" s="16">
        <v>55.1180952380952</v>
      </c>
      <c r="AJ21" s="16">
        <v>18.0</v>
      </c>
      <c r="AK21" s="16">
        <v>40.0</v>
      </c>
      <c r="AL21" s="17">
        <v>27.6704761904762</v>
      </c>
      <c r="AM21" s="18">
        <f t="shared" si="1"/>
        <v>18</v>
      </c>
      <c r="AN21" s="18">
        <f t="shared" si="2"/>
        <v>115</v>
      </c>
      <c r="AO21" s="18">
        <f t="shared" si="3"/>
        <v>63.13988659</v>
      </c>
    </row>
    <row r="22" ht="15.75" customHeight="1">
      <c r="A22" s="14" t="s">
        <v>37</v>
      </c>
      <c r="B22" s="15" t="s">
        <v>19</v>
      </c>
      <c r="C22" s="16"/>
      <c r="D22" s="16"/>
      <c r="E22" s="16"/>
      <c r="F22" s="16">
        <v>52.0</v>
      </c>
      <c r="G22" s="16">
        <v>110.0</v>
      </c>
      <c r="H22" s="16">
        <v>64.8325</v>
      </c>
      <c r="I22" s="16">
        <v>35.0</v>
      </c>
      <c r="J22" s="16">
        <v>56.0</v>
      </c>
      <c r="K22" s="16">
        <v>44.35</v>
      </c>
      <c r="L22" s="16">
        <v>38.0</v>
      </c>
      <c r="M22" s="16">
        <v>65.0</v>
      </c>
      <c r="N22" s="16">
        <v>52.0312</v>
      </c>
      <c r="O22" s="16">
        <v>45.0</v>
      </c>
      <c r="P22" s="16">
        <v>65.0</v>
      </c>
      <c r="Q22" s="16">
        <v>55.1070833333333</v>
      </c>
      <c r="R22" s="16">
        <v>30.0</v>
      </c>
      <c r="S22" s="16">
        <v>70.0</v>
      </c>
      <c r="T22" s="16">
        <v>43.1104</v>
      </c>
      <c r="U22" s="16">
        <v>35.0</v>
      </c>
      <c r="V22" s="16">
        <v>45.0</v>
      </c>
      <c r="W22" s="16">
        <v>41.6886666666667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7"/>
      <c r="AM22" s="18">
        <f t="shared" si="1"/>
        <v>30</v>
      </c>
      <c r="AN22" s="18">
        <f t="shared" si="2"/>
        <v>110</v>
      </c>
      <c r="AO22" s="18">
        <f t="shared" si="3"/>
        <v>50.18664167</v>
      </c>
    </row>
    <row r="23" ht="15.75" customHeight="1">
      <c r="A23" s="14" t="s">
        <v>38</v>
      </c>
      <c r="B23" s="15" t="s">
        <v>19</v>
      </c>
      <c r="C23" s="16">
        <v>30.0</v>
      </c>
      <c r="D23" s="16">
        <v>70.0</v>
      </c>
      <c r="E23" s="16">
        <v>50.5636363636364</v>
      </c>
      <c r="F23" s="16">
        <v>18.0</v>
      </c>
      <c r="G23" s="16">
        <v>38.0</v>
      </c>
      <c r="H23" s="16">
        <v>24.0788888888889</v>
      </c>
      <c r="I23" s="16">
        <v>14.0</v>
      </c>
      <c r="J23" s="16">
        <v>38.0</v>
      </c>
      <c r="K23" s="16">
        <v>23.72</v>
      </c>
      <c r="L23" s="16">
        <v>16.0</v>
      </c>
      <c r="M23" s="16">
        <v>30.0</v>
      </c>
      <c r="N23" s="16">
        <v>21.528</v>
      </c>
      <c r="O23" s="16">
        <v>14.0</v>
      </c>
      <c r="P23" s="16">
        <v>22.0</v>
      </c>
      <c r="Q23" s="16">
        <v>18.128</v>
      </c>
      <c r="R23" s="16">
        <v>16.0</v>
      </c>
      <c r="S23" s="16">
        <v>55.0</v>
      </c>
      <c r="T23" s="16">
        <v>41.1275</v>
      </c>
      <c r="U23" s="16">
        <v>28.0</v>
      </c>
      <c r="V23" s="16">
        <v>55.0</v>
      </c>
      <c r="W23" s="16">
        <v>40.9772727272727</v>
      </c>
      <c r="X23" s="16">
        <v>35.0</v>
      </c>
      <c r="Y23" s="16">
        <v>50.0</v>
      </c>
      <c r="Z23" s="16">
        <v>42.2204166666667</v>
      </c>
      <c r="AA23" s="16">
        <v>38.0</v>
      </c>
      <c r="AB23" s="16">
        <v>100.0</v>
      </c>
      <c r="AC23" s="16">
        <v>61.4540909090909</v>
      </c>
      <c r="AD23" s="16">
        <v>80.0</v>
      </c>
      <c r="AE23" s="16">
        <v>200.0</v>
      </c>
      <c r="AF23" s="16">
        <v>126.0604545454545</v>
      </c>
      <c r="AG23" s="16">
        <v>90.0</v>
      </c>
      <c r="AH23" s="16">
        <v>140.0</v>
      </c>
      <c r="AI23" s="16">
        <v>106.1904761904762</v>
      </c>
      <c r="AJ23" s="16">
        <v>45.0</v>
      </c>
      <c r="AK23" s="16">
        <v>120.0</v>
      </c>
      <c r="AL23" s="17">
        <v>69.9621739130435</v>
      </c>
      <c r="AM23" s="18">
        <f t="shared" si="1"/>
        <v>14</v>
      </c>
      <c r="AN23" s="18">
        <f t="shared" si="2"/>
        <v>200</v>
      </c>
      <c r="AO23" s="18">
        <f t="shared" si="3"/>
        <v>52.16757585</v>
      </c>
    </row>
    <row r="24" ht="15.75" customHeight="1">
      <c r="A24" s="14" t="s">
        <v>39</v>
      </c>
      <c r="B24" s="15" t="s">
        <v>19</v>
      </c>
      <c r="C24" s="16">
        <v>22.0</v>
      </c>
      <c r="D24" s="16">
        <v>40.0</v>
      </c>
      <c r="E24" s="16">
        <v>30.6286363636364</v>
      </c>
      <c r="F24" s="16">
        <v>18.0</v>
      </c>
      <c r="G24" s="16">
        <v>45.0</v>
      </c>
      <c r="H24" s="16">
        <v>28.5085185185185</v>
      </c>
      <c r="I24" s="16">
        <v>22.0</v>
      </c>
      <c r="J24" s="16">
        <v>48.0</v>
      </c>
      <c r="K24" s="16">
        <v>33.686</v>
      </c>
      <c r="L24" s="16">
        <v>16.0</v>
      </c>
      <c r="M24" s="16">
        <v>32.0</v>
      </c>
      <c r="N24" s="16">
        <v>24.448</v>
      </c>
      <c r="O24" s="16">
        <v>14.0</v>
      </c>
      <c r="P24" s="16">
        <v>24.0</v>
      </c>
      <c r="Q24" s="16">
        <v>17.548</v>
      </c>
      <c r="R24" s="16">
        <v>14.0</v>
      </c>
      <c r="S24" s="16">
        <v>50.0</v>
      </c>
      <c r="T24" s="16">
        <v>27.3908</v>
      </c>
      <c r="U24" s="16">
        <v>14.0</v>
      </c>
      <c r="V24" s="16">
        <v>24.0</v>
      </c>
      <c r="W24" s="16">
        <v>18.5225</v>
      </c>
      <c r="X24" s="16">
        <v>16.0</v>
      </c>
      <c r="Y24" s="16">
        <v>34.0</v>
      </c>
      <c r="Z24" s="16">
        <v>22.7366666666667</v>
      </c>
      <c r="AA24" s="16">
        <v>18.0</v>
      </c>
      <c r="AB24" s="16">
        <v>54.0</v>
      </c>
      <c r="AC24" s="16">
        <v>32.5326666666667</v>
      </c>
      <c r="AD24" s="16">
        <v>38.0</v>
      </c>
      <c r="AE24" s="16">
        <v>50.0</v>
      </c>
      <c r="AF24" s="16">
        <v>44.2345454545455</v>
      </c>
      <c r="AG24" s="16">
        <v>38.0</v>
      </c>
      <c r="AH24" s="16">
        <v>50.0</v>
      </c>
      <c r="AI24" s="16">
        <v>43.1266666666667</v>
      </c>
      <c r="AJ24" s="16">
        <v>22.0</v>
      </c>
      <c r="AK24" s="16">
        <v>45.0</v>
      </c>
      <c r="AL24" s="17">
        <v>38.0421739130435</v>
      </c>
      <c r="AM24" s="18">
        <f t="shared" si="1"/>
        <v>14</v>
      </c>
      <c r="AN24" s="18">
        <f t="shared" si="2"/>
        <v>54</v>
      </c>
      <c r="AO24" s="18">
        <f t="shared" si="3"/>
        <v>30.11709785</v>
      </c>
    </row>
    <row r="25" ht="15.75" customHeight="1">
      <c r="A25" s="14" t="s">
        <v>40</v>
      </c>
      <c r="B25" s="15" t="s">
        <v>19</v>
      </c>
      <c r="C25" s="16">
        <v>28.0</v>
      </c>
      <c r="D25" s="16">
        <v>70.0</v>
      </c>
      <c r="E25" s="16">
        <v>47.4863636363636</v>
      </c>
      <c r="F25" s="16">
        <v>26.0</v>
      </c>
      <c r="G25" s="16">
        <v>60.0</v>
      </c>
      <c r="H25" s="16">
        <v>36.677037037037</v>
      </c>
      <c r="I25" s="16">
        <v>25.0</v>
      </c>
      <c r="J25" s="16">
        <v>56.0</v>
      </c>
      <c r="K25" s="16">
        <v>40.104</v>
      </c>
      <c r="L25" s="16">
        <v>24.0</v>
      </c>
      <c r="M25" s="16">
        <v>45.0</v>
      </c>
      <c r="N25" s="16">
        <v>33.296</v>
      </c>
      <c r="O25" s="16">
        <v>25.0</v>
      </c>
      <c r="P25" s="16">
        <v>40.0</v>
      </c>
      <c r="Q25" s="16">
        <v>29.592</v>
      </c>
      <c r="R25" s="16">
        <v>30.0</v>
      </c>
      <c r="S25" s="16">
        <v>50.0</v>
      </c>
      <c r="T25" s="16">
        <v>38.152</v>
      </c>
      <c r="U25" s="16">
        <v>28.0</v>
      </c>
      <c r="V25" s="16">
        <v>40.0</v>
      </c>
      <c r="W25" s="16">
        <v>33.4204545454545</v>
      </c>
      <c r="X25" s="16">
        <v>30.0</v>
      </c>
      <c r="Y25" s="16">
        <v>80.0</v>
      </c>
      <c r="Z25" s="16">
        <v>51.5033333333333</v>
      </c>
      <c r="AA25" s="16">
        <v>45.0</v>
      </c>
      <c r="AB25" s="16">
        <v>160.0</v>
      </c>
      <c r="AC25" s="16">
        <v>76.3036363636364</v>
      </c>
      <c r="AD25" s="16">
        <v>160.0</v>
      </c>
      <c r="AE25" s="16">
        <v>260.0</v>
      </c>
      <c r="AF25" s="16">
        <v>204.0744444444444</v>
      </c>
      <c r="AG25" s="16">
        <v>100.0</v>
      </c>
      <c r="AH25" s="16">
        <v>160.0</v>
      </c>
      <c r="AI25" s="16">
        <v>143.0</v>
      </c>
      <c r="AJ25" s="16">
        <v>38.0</v>
      </c>
      <c r="AK25" s="16">
        <v>150.0</v>
      </c>
      <c r="AL25" s="17">
        <v>66.9639130434783</v>
      </c>
      <c r="AM25" s="18">
        <f t="shared" si="1"/>
        <v>24</v>
      </c>
      <c r="AN25" s="18">
        <f t="shared" si="2"/>
        <v>260</v>
      </c>
      <c r="AO25" s="18">
        <f t="shared" si="3"/>
        <v>66.71443187</v>
      </c>
    </row>
    <row r="26" ht="15.75" customHeight="1">
      <c r="A26" s="14" t="s">
        <v>41</v>
      </c>
      <c r="B26" s="15" t="s">
        <v>19</v>
      </c>
      <c r="C26" s="16">
        <v>48.0</v>
      </c>
      <c r="D26" s="16">
        <v>60.0</v>
      </c>
      <c r="E26" s="16">
        <v>53.2766666666667</v>
      </c>
      <c r="F26" s="16">
        <v>30.0</v>
      </c>
      <c r="G26" s="16">
        <v>60.0</v>
      </c>
      <c r="H26" s="16">
        <v>39.9611764705882</v>
      </c>
      <c r="I26" s="16">
        <v>25.0</v>
      </c>
      <c r="J26" s="16">
        <v>45.0</v>
      </c>
      <c r="K26" s="16">
        <v>35.9052</v>
      </c>
      <c r="L26" s="16">
        <v>15.0</v>
      </c>
      <c r="M26" s="16">
        <v>30.0</v>
      </c>
      <c r="N26" s="16">
        <v>23.434</v>
      </c>
      <c r="O26" s="16">
        <v>10.0</v>
      </c>
      <c r="P26" s="16">
        <v>24.0</v>
      </c>
      <c r="Q26" s="16">
        <v>17.06875</v>
      </c>
      <c r="R26" s="16">
        <v>18.0</v>
      </c>
      <c r="S26" s="16">
        <v>40.0</v>
      </c>
      <c r="T26" s="16">
        <v>29.7534782608696</v>
      </c>
      <c r="U26" s="16">
        <v>18.0</v>
      </c>
      <c r="V26" s="16">
        <v>40.0</v>
      </c>
      <c r="W26" s="16">
        <v>23.655625</v>
      </c>
      <c r="X26" s="16">
        <v>30.0</v>
      </c>
      <c r="Y26" s="16">
        <v>32.0</v>
      </c>
      <c r="Z26" s="16">
        <v>31.0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7"/>
      <c r="AM26" s="18">
        <f t="shared" si="1"/>
        <v>10</v>
      </c>
      <c r="AN26" s="18">
        <f t="shared" si="2"/>
        <v>60</v>
      </c>
      <c r="AO26" s="18">
        <f t="shared" si="3"/>
        <v>31.75686205</v>
      </c>
    </row>
    <row r="27" ht="15.75" customHeight="1">
      <c r="A27" s="14" t="s">
        <v>42</v>
      </c>
      <c r="B27" s="15" t="s">
        <v>19</v>
      </c>
      <c r="C27" s="16">
        <v>30.0</v>
      </c>
      <c r="D27" s="16">
        <v>75.0</v>
      </c>
      <c r="E27" s="16">
        <v>51.15</v>
      </c>
      <c r="F27" s="16">
        <v>20.0</v>
      </c>
      <c r="G27" s="16">
        <v>50.0</v>
      </c>
      <c r="H27" s="16">
        <v>32.8176923076923</v>
      </c>
      <c r="I27" s="16">
        <v>18.0</v>
      </c>
      <c r="J27" s="16">
        <v>42.0</v>
      </c>
      <c r="K27" s="16">
        <v>30.034</v>
      </c>
      <c r="L27" s="16">
        <v>8.0</v>
      </c>
      <c r="M27" s="16">
        <v>34.0</v>
      </c>
      <c r="N27" s="16">
        <v>20.014</v>
      </c>
      <c r="O27" s="16">
        <v>12.0</v>
      </c>
      <c r="P27" s="16">
        <v>24.0</v>
      </c>
      <c r="Q27" s="16">
        <v>17.058</v>
      </c>
      <c r="R27" s="16">
        <v>18.0</v>
      </c>
      <c r="S27" s="16">
        <v>40.0</v>
      </c>
      <c r="T27" s="16">
        <v>27.296</v>
      </c>
      <c r="U27" s="16">
        <v>18.0</v>
      </c>
      <c r="V27" s="16">
        <v>40.0</v>
      </c>
      <c r="W27" s="16">
        <v>30.1652380952381</v>
      </c>
      <c r="X27" s="16">
        <v>28.0</v>
      </c>
      <c r="Y27" s="16">
        <v>50.0</v>
      </c>
      <c r="Z27" s="16">
        <v>38.924</v>
      </c>
      <c r="AA27" s="16">
        <v>70.0</v>
      </c>
      <c r="AB27" s="16">
        <v>100.0</v>
      </c>
      <c r="AC27" s="16">
        <v>85.0</v>
      </c>
      <c r="AD27" s="16"/>
      <c r="AE27" s="16"/>
      <c r="AF27" s="16"/>
      <c r="AG27" s="16">
        <v>80.0</v>
      </c>
      <c r="AH27" s="16">
        <v>120.0</v>
      </c>
      <c r="AI27" s="16">
        <v>101.0</v>
      </c>
      <c r="AJ27" s="16">
        <v>55.0</v>
      </c>
      <c r="AK27" s="16">
        <v>100.0</v>
      </c>
      <c r="AL27" s="17">
        <v>73.6363636363636</v>
      </c>
      <c r="AM27" s="18">
        <f t="shared" si="1"/>
        <v>8</v>
      </c>
      <c r="AN27" s="18">
        <f t="shared" si="2"/>
        <v>120</v>
      </c>
      <c r="AO27" s="18">
        <f t="shared" si="3"/>
        <v>46.09957219</v>
      </c>
    </row>
    <row r="28" ht="15.75" customHeight="1">
      <c r="A28" s="14" t="s">
        <v>43</v>
      </c>
      <c r="B28" s="15" t="s">
        <v>19</v>
      </c>
      <c r="C28" s="16">
        <v>38.0</v>
      </c>
      <c r="D28" s="16">
        <v>52.0</v>
      </c>
      <c r="E28" s="16">
        <v>45.0</v>
      </c>
      <c r="F28" s="16">
        <v>35.0</v>
      </c>
      <c r="G28" s="16">
        <v>48.0</v>
      </c>
      <c r="H28" s="16">
        <v>40.5</v>
      </c>
      <c r="I28" s="16">
        <v>20.0</v>
      </c>
      <c r="J28" s="16">
        <v>58.0</v>
      </c>
      <c r="K28" s="16">
        <v>40.407</v>
      </c>
      <c r="L28" s="16">
        <v>14.0</v>
      </c>
      <c r="M28" s="16">
        <v>34.0</v>
      </c>
      <c r="N28" s="16">
        <v>22.2716</v>
      </c>
      <c r="O28" s="16">
        <v>10.0</v>
      </c>
      <c r="P28" s="16">
        <v>26.0</v>
      </c>
      <c r="Q28" s="16">
        <v>19.0904347826087</v>
      </c>
      <c r="R28" s="16">
        <v>24.0</v>
      </c>
      <c r="S28" s="16">
        <v>40.0</v>
      </c>
      <c r="T28" s="16">
        <v>31.6326666666667</v>
      </c>
      <c r="U28" s="16">
        <v>28.0</v>
      </c>
      <c r="V28" s="16">
        <v>30.0</v>
      </c>
      <c r="W28" s="16">
        <v>29.0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>
        <v>70.0</v>
      </c>
      <c r="AK28" s="16">
        <v>80.0</v>
      </c>
      <c r="AL28" s="17">
        <v>75.0</v>
      </c>
      <c r="AM28" s="18">
        <f t="shared" si="1"/>
        <v>10</v>
      </c>
      <c r="AN28" s="18">
        <f t="shared" si="2"/>
        <v>80</v>
      </c>
      <c r="AO28" s="18">
        <f t="shared" si="3"/>
        <v>37.86271268</v>
      </c>
    </row>
    <row r="29" ht="15.75" customHeight="1">
      <c r="A29" s="14" t="s">
        <v>44</v>
      </c>
      <c r="B29" s="15" t="s">
        <v>19</v>
      </c>
      <c r="C29" s="16">
        <v>18.0</v>
      </c>
      <c r="D29" s="16">
        <v>30.0</v>
      </c>
      <c r="E29" s="16">
        <v>22.5522727272727</v>
      </c>
      <c r="F29" s="16">
        <v>18.0</v>
      </c>
      <c r="G29" s="16">
        <v>24.0</v>
      </c>
      <c r="H29" s="16">
        <v>20.9992592592593</v>
      </c>
      <c r="I29" s="16">
        <v>18.0</v>
      </c>
      <c r="J29" s="16">
        <v>24.0</v>
      </c>
      <c r="K29" s="16">
        <v>22.2812</v>
      </c>
      <c r="L29" s="16">
        <v>20.0</v>
      </c>
      <c r="M29" s="16">
        <v>28.0</v>
      </c>
      <c r="N29" s="16">
        <v>23.3396</v>
      </c>
      <c r="O29" s="16">
        <v>18.0</v>
      </c>
      <c r="P29" s="16">
        <v>28.0</v>
      </c>
      <c r="Q29" s="16">
        <v>21.3992</v>
      </c>
      <c r="R29" s="16">
        <v>12.0</v>
      </c>
      <c r="S29" s="16">
        <v>30.0</v>
      </c>
      <c r="T29" s="16">
        <v>19.8968181818182</v>
      </c>
      <c r="U29" s="16">
        <v>14.0</v>
      </c>
      <c r="V29" s="16">
        <v>40.0</v>
      </c>
      <c r="W29" s="16">
        <v>19.4952173913043</v>
      </c>
      <c r="X29" s="16">
        <v>14.0</v>
      </c>
      <c r="Y29" s="16">
        <v>20.0</v>
      </c>
      <c r="Z29" s="16">
        <v>17.1445833333333</v>
      </c>
      <c r="AA29" s="16">
        <v>14.0</v>
      </c>
      <c r="AB29" s="16">
        <v>22.0</v>
      </c>
      <c r="AC29" s="16">
        <v>17.0</v>
      </c>
      <c r="AD29" s="16">
        <v>16.0</v>
      </c>
      <c r="AE29" s="16">
        <v>30.0</v>
      </c>
      <c r="AF29" s="16">
        <v>19.9409090909091</v>
      </c>
      <c r="AG29" s="16">
        <v>25.0</v>
      </c>
      <c r="AH29" s="16">
        <v>30.0</v>
      </c>
      <c r="AI29" s="16">
        <v>28.392380952381</v>
      </c>
      <c r="AJ29" s="16">
        <v>20.0</v>
      </c>
      <c r="AK29" s="16">
        <v>30.0</v>
      </c>
      <c r="AL29" s="17">
        <v>27.7752173913043</v>
      </c>
      <c r="AM29" s="18">
        <f t="shared" si="1"/>
        <v>12</v>
      </c>
      <c r="AN29" s="18">
        <f t="shared" si="2"/>
        <v>40</v>
      </c>
      <c r="AO29" s="18">
        <f t="shared" si="3"/>
        <v>21.68472153</v>
      </c>
    </row>
    <row r="30" ht="15.75" customHeight="1">
      <c r="A30" s="14" t="s">
        <v>45</v>
      </c>
      <c r="B30" s="15" t="s">
        <v>19</v>
      </c>
      <c r="C30" s="16">
        <v>12.0</v>
      </c>
      <c r="D30" s="16">
        <v>26.0</v>
      </c>
      <c r="E30" s="16">
        <v>19.7</v>
      </c>
      <c r="F30" s="16">
        <v>10.0</v>
      </c>
      <c r="G30" s="16">
        <v>38.0</v>
      </c>
      <c r="H30" s="16">
        <v>21.2788888888889</v>
      </c>
      <c r="I30" s="16">
        <v>28.0</v>
      </c>
      <c r="J30" s="16">
        <v>45.0</v>
      </c>
      <c r="K30" s="16">
        <v>35.554</v>
      </c>
      <c r="L30" s="16">
        <v>20.0</v>
      </c>
      <c r="M30" s="16">
        <v>42.0</v>
      </c>
      <c r="N30" s="16">
        <v>30.7448</v>
      </c>
      <c r="O30" s="16">
        <v>14.0</v>
      </c>
      <c r="P30" s="16">
        <v>28.0</v>
      </c>
      <c r="Q30" s="16">
        <v>20.3092</v>
      </c>
      <c r="R30" s="16">
        <v>10.0</v>
      </c>
      <c r="S30" s="16">
        <v>32.0</v>
      </c>
      <c r="T30" s="16">
        <v>23.0612</v>
      </c>
      <c r="U30" s="16">
        <v>12.0</v>
      </c>
      <c r="V30" s="16">
        <v>40.0</v>
      </c>
      <c r="W30" s="16">
        <v>21.3873913043478</v>
      </c>
      <c r="X30" s="16">
        <v>10.0</v>
      </c>
      <c r="Y30" s="16">
        <v>30.0</v>
      </c>
      <c r="Z30" s="16">
        <v>15.52</v>
      </c>
      <c r="AA30" s="16">
        <v>6.0</v>
      </c>
      <c r="AB30" s="16">
        <v>30.0</v>
      </c>
      <c r="AC30" s="16">
        <v>11.2309090909091</v>
      </c>
      <c r="AD30" s="16">
        <v>20.0</v>
      </c>
      <c r="AE30" s="16">
        <v>35.0</v>
      </c>
      <c r="AF30" s="16">
        <v>26.5272727272727</v>
      </c>
      <c r="AG30" s="16">
        <v>15.0</v>
      </c>
      <c r="AH30" s="16">
        <v>30.0</v>
      </c>
      <c r="AI30" s="16">
        <v>21.56</v>
      </c>
      <c r="AJ30" s="16">
        <v>14.0</v>
      </c>
      <c r="AK30" s="16">
        <v>24.0</v>
      </c>
      <c r="AL30" s="17">
        <v>18.214347826087</v>
      </c>
      <c r="AM30" s="18">
        <f t="shared" si="1"/>
        <v>6</v>
      </c>
      <c r="AN30" s="18">
        <f t="shared" si="2"/>
        <v>45</v>
      </c>
      <c r="AO30" s="18">
        <f t="shared" si="3"/>
        <v>22.09066749</v>
      </c>
    </row>
    <row r="31" ht="15.75" customHeight="1">
      <c r="A31" s="14" t="s">
        <v>46</v>
      </c>
      <c r="B31" s="15" t="s">
        <v>19</v>
      </c>
      <c r="C31" s="16">
        <v>30.0</v>
      </c>
      <c r="D31" s="16">
        <v>45.0</v>
      </c>
      <c r="E31" s="16">
        <v>38.070625</v>
      </c>
      <c r="F31" s="16">
        <v>30.0</v>
      </c>
      <c r="G31" s="16">
        <v>45.0</v>
      </c>
      <c r="H31" s="16">
        <v>36.925625</v>
      </c>
      <c r="I31" s="16">
        <v>35.0</v>
      </c>
      <c r="J31" s="16">
        <v>45.0</v>
      </c>
      <c r="K31" s="16">
        <v>39.664</v>
      </c>
      <c r="L31" s="16"/>
      <c r="M31" s="16"/>
      <c r="N31" s="16"/>
      <c r="O31" s="16"/>
      <c r="P31" s="16"/>
      <c r="Q31" s="16"/>
      <c r="R31" s="16"/>
      <c r="S31" s="16"/>
      <c r="T31" s="16"/>
      <c r="U31" s="16">
        <v>40.0</v>
      </c>
      <c r="V31" s="16">
        <v>60.0</v>
      </c>
      <c r="W31" s="16">
        <v>51.25</v>
      </c>
      <c r="X31" s="16"/>
      <c r="Y31" s="16"/>
      <c r="Z31" s="16"/>
      <c r="AA31" s="16">
        <v>14.0</v>
      </c>
      <c r="AB31" s="16">
        <v>25.0</v>
      </c>
      <c r="AC31" s="16">
        <v>19.05</v>
      </c>
      <c r="AD31" s="16"/>
      <c r="AE31" s="16"/>
      <c r="AF31" s="16"/>
      <c r="AG31" s="16">
        <v>20.0</v>
      </c>
      <c r="AH31" s="16">
        <v>80.0</v>
      </c>
      <c r="AI31" s="16">
        <v>32.36</v>
      </c>
      <c r="AJ31" s="16">
        <v>20.0</v>
      </c>
      <c r="AK31" s="16">
        <v>35.0</v>
      </c>
      <c r="AL31" s="17">
        <v>27.7075</v>
      </c>
      <c r="AM31" s="18">
        <f t="shared" si="1"/>
        <v>14</v>
      </c>
      <c r="AN31" s="18">
        <f t="shared" si="2"/>
        <v>80</v>
      </c>
      <c r="AO31" s="18">
        <f t="shared" si="3"/>
        <v>35.00396429</v>
      </c>
    </row>
    <row r="32" ht="15.75" customHeight="1">
      <c r="A32" s="14" t="s">
        <v>47</v>
      </c>
      <c r="B32" s="15" t="s">
        <v>19</v>
      </c>
      <c r="C32" s="16">
        <v>30.0</v>
      </c>
      <c r="D32" s="16">
        <v>70.0</v>
      </c>
      <c r="E32" s="16">
        <v>54.4818181818182</v>
      </c>
      <c r="F32" s="16">
        <v>22.0</v>
      </c>
      <c r="G32" s="16">
        <v>50.0</v>
      </c>
      <c r="H32" s="16">
        <v>32.8566666666667</v>
      </c>
      <c r="I32" s="16">
        <v>24.0</v>
      </c>
      <c r="J32" s="16">
        <v>65.0</v>
      </c>
      <c r="K32" s="16">
        <v>39.744</v>
      </c>
      <c r="L32" s="16">
        <v>20.0</v>
      </c>
      <c r="M32" s="16">
        <v>46.0</v>
      </c>
      <c r="N32" s="16">
        <v>30.864</v>
      </c>
      <c r="O32" s="16">
        <v>15.0</v>
      </c>
      <c r="P32" s="16">
        <v>38.0</v>
      </c>
      <c r="Q32" s="16">
        <v>24.744</v>
      </c>
      <c r="R32" s="16">
        <v>30.0</v>
      </c>
      <c r="S32" s="16">
        <v>62.0</v>
      </c>
      <c r="T32" s="16">
        <v>44.144</v>
      </c>
      <c r="U32" s="16">
        <v>25.0</v>
      </c>
      <c r="V32" s="16">
        <v>45.0</v>
      </c>
      <c r="W32" s="16">
        <v>34.579</v>
      </c>
      <c r="X32" s="16">
        <v>20.0</v>
      </c>
      <c r="Y32" s="16">
        <v>70.0</v>
      </c>
      <c r="Z32" s="16">
        <v>39.1970588235294</v>
      </c>
      <c r="AA32" s="16">
        <v>75.0</v>
      </c>
      <c r="AB32" s="16">
        <v>130.0</v>
      </c>
      <c r="AC32" s="16">
        <v>102.5</v>
      </c>
      <c r="AD32" s="16">
        <v>75.0</v>
      </c>
      <c r="AE32" s="16">
        <v>160.0</v>
      </c>
      <c r="AF32" s="16">
        <v>109.5505</v>
      </c>
      <c r="AG32" s="16">
        <v>75.0</v>
      </c>
      <c r="AH32" s="16">
        <v>160.0</v>
      </c>
      <c r="AI32" s="16">
        <v>110.1321052631579</v>
      </c>
      <c r="AJ32" s="16">
        <v>50.0</v>
      </c>
      <c r="AK32" s="16">
        <v>80.0</v>
      </c>
      <c r="AL32" s="17">
        <v>67.5413043478261</v>
      </c>
      <c r="AM32" s="18">
        <f t="shared" si="1"/>
        <v>15</v>
      </c>
      <c r="AN32" s="18">
        <f t="shared" si="2"/>
        <v>160</v>
      </c>
      <c r="AO32" s="18">
        <f t="shared" si="3"/>
        <v>57.52787111</v>
      </c>
    </row>
    <row r="33" ht="15.75" customHeight="1">
      <c r="A33" s="14" t="s">
        <v>48</v>
      </c>
      <c r="B33" s="15" t="s">
        <v>19</v>
      </c>
      <c r="C33" s="16"/>
      <c r="D33" s="16"/>
      <c r="E33" s="16"/>
      <c r="F33" s="16"/>
      <c r="G33" s="16"/>
      <c r="H33" s="16"/>
      <c r="I33" s="16">
        <v>35.0</v>
      </c>
      <c r="J33" s="16">
        <v>42.0</v>
      </c>
      <c r="K33" s="16">
        <v>38.2</v>
      </c>
      <c r="L33" s="16"/>
      <c r="M33" s="16"/>
      <c r="N33" s="16"/>
      <c r="O33" s="16"/>
      <c r="P33" s="16"/>
      <c r="Q33" s="16"/>
      <c r="R33" s="16"/>
      <c r="S33" s="16"/>
      <c r="T33" s="16"/>
      <c r="U33" s="16">
        <v>40.0</v>
      </c>
      <c r="V33" s="16">
        <v>50.0</v>
      </c>
      <c r="W33" s="16">
        <v>44.1666666666667</v>
      </c>
      <c r="X33" s="16">
        <v>35.0</v>
      </c>
      <c r="Y33" s="16">
        <v>55.0</v>
      </c>
      <c r="Z33" s="16">
        <v>42.9871428571429</v>
      </c>
      <c r="AA33" s="16">
        <v>30.0</v>
      </c>
      <c r="AB33" s="16">
        <v>50.0</v>
      </c>
      <c r="AC33" s="16">
        <v>41.595</v>
      </c>
      <c r="AD33" s="16">
        <v>40.0</v>
      </c>
      <c r="AE33" s="16">
        <v>50.0</v>
      </c>
      <c r="AF33" s="16">
        <v>46.3085714285714</v>
      </c>
      <c r="AG33" s="16">
        <v>45.0</v>
      </c>
      <c r="AH33" s="16">
        <v>50.0</v>
      </c>
      <c r="AI33" s="16">
        <v>47.8325</v>
      </c>
      <c r="AJ33" s="16">
        <v>40.0</v>
      </c>
      <c r="AK33" s="16">
        <v>55.0</v>
      </c>
      <c r="AL33" s="17">
        <v>47.7278947368421</v>
      </c>
      <c r="AM33" s="18">
        <f t="shared" si="1"/>
        <v>30</v>
      </c>
      <c r="AN33" s="18">
        <f t="shared" si="2"/>
        <v>55</v>
      </c>
      <c r="AO33" s="18">
        <f t="shared" si="3"/>
        <v>44.1168251</v>
      </c>
    </row>
    <row r="34" ht="15.75" customHeight="1">
      <c r="A34" s="14" t="s">
        <v>49</v>
      </c>
      <c r="B34" s="15" t="s">
        <v>19</v>
      </c>
      <c r="C34" s="16">
        <v>32.0</v>
      </c>
      <c r="D34" s="16">
        <v>60.0</v>
      </c>
      <c r="E34" s="16">
        <v>43.6963157894737</v>
      </c>
      <c r="F34" s="16">
        <v>34.0</v>
      </c>
      <c r="G34" s="16">
        <v>50.0</v>
      </c>
      <c r="H34" s="16">
        <v>41.0454545454545</v>
      </c>
      <c r="I34" s="16"/>
      <c r="J34" s="16"/>
      <c r="K34" s="16"/>
      <c r="L34" s="16"/>
      <c r="M34" s="16"/>
      <c r="N34" s="16"/>
      <c r="O34" s="16"/>
      <c r="P34" s="16"/>
      <c r="Q34" s="16"/>
      <c r="R34" s="16">
        <v>38.0</v>
      </c>
      <c r="S34" s="16">
        <v>90.0</v>
      </c>
      <c r="T34" s="16">
        <v>61.9353846153846</v>
      </c>
      <c r="U34" s="16">
        <v>14.0</v>
      </c>
      <c r="V34" s="16">
        <v>60.0</v>
      </c>
      <c r="W34" s="16">
        <v>29.0441666666667</v>
      </c>
      <c r="X34" s="16">
        <v>18.0</v>
      </c>
      <c r="Y34" s="16">
        <v>50.0</v>
      </c>
      <c r="Z34" s="16">
        <v>29.7786956521739</v>
      </c>
      <c r="AA34" s="16">
        <v>20.0</v>
      </c>
      <c r="AB34" s="16">
        <v>40.0</v>
      </c>
      <c r="AC34" s="16">
        <v>24.2190909090909</v>
      </c>
      <c r="AD34" s="16">
        <v>20.0</v>
      </c>
      <c r="AE34" s="16">
        <v>40.0</v>
      </c>
      <c r="AF34" s="16">
        <v>31.5481818181818</v>
      </c>
      <c r="AG34" s="16">
        <v>30.0</v>
      </c>
      <c r="AH34" s="16">
        <v>50.0</v>
      </c>
      <c r="AI34" s="16">
        <v>41.3961904761905</v>
      </c>
      <c r="AJ34" s="16">
        <v>35.0</v>
      </c>
      <c r="AK34" s="16">
        <v>50.0</v>
      </c>
      <c r="AL34" s="17">
        <v>44.3786363636364</v>
      </c>
      <c r="AM34" s="18">
        <f t="shared" si="1"/>
        <v>14</v>
      </c>
      <c r="AN34" s="18">
        <f t="shared" si="2"/>
        <v>90</v>
      </c>
      <c r="AO34" s="18">
        <f t="shared" si="3"/>
        <v>38.5602352</v>
      </c>
    </row>
    <row r="35" ht="15.75" customHeight="1">
      <c r="A35" s="14" t="s">
        <v>50</v>
      </c>
      <c r="B35" s="15" t="s">
        <v>19</v>
      </c>
      <c r="C35" s="16">
        <v>26.0</v>
      </c>
      <c r="D35" s="16">
        <v>34.0</v>
      </c>
      <c r="E35" s="16">
        <v>31.0489473684211</v>
      </c>
      <c r="F35" s="16"/>
      <c r="G35" s="16"/>
      <c r="H35" s="16"/>
      <c r="I35" s="16">
        <v>32.0</v>
      </c>
      <c r="J35" s="16">
        <v>44.0</v>
      </c>
      <c r="K35" s="16">
        <v>37.8715384615385</v>
      </c>
      <c r="L35" s="16">
        <v>26.0</v>
      </c>
      <c r="M35" s="16">
        <v>40.0</v>
      </c>
      <c r="N35" s="16">
        <v>33.9166666666667</v>
      </c>
      <c r="O35" s="16">
        <v>18.0</v>
      </c>
      <c r="P35" s="16">
        <v>32.0</v>
      </c>
      <c r="Q35" s="16">
        <v>23.5664</v>
      </c>
      <c r="R35" s="16">
        <v>20.0</v>
      </c>
      <c r="S35" s="16">
        <v>35.0</v>
      </c>
      <c r="T35" s="16">
        <v>28.266</v>
      </c>
      <c r="U35" s="16">
        <v>25.0</v>
      </c>
      <c r="V35" s="16">
        <v>40.0</v>
      </c>
      <c r="W35" s="16">
        <v>29.1881818181818</v>
      </c>
      <c r="X35" s="16">
        <v>10.0</v>
      </c>
      <c r="Y35" s="16">
        <v>40.0</v>
      </c>
      <c r="Z35" s="16">
        <v>31.6452173913043</v>
      </c>
      <c r="AA35" s="16">
        <v>25.0</v>
      </c>
      <c r="AB35" s="16">
        <v>45.0</v>
      </c>
      <c r="AC35" s="16">
        <v>35.0477272727273</v>
      </c>
      <c r="AD35" s="16">
        <v>35.0</v>
      </c>
      <c r="AE35" s="16">
        <v>50.0</v>
      </c>
      <c r="AF35" s="16">
        <v>39.0590909090909</v>
      </c>
      <c r="AG35" s="16">
        <v>35.0</v>
      </c>
      <c r="AH35" s="16">
        <v>60.0</v>
      </c>
      <c r="AI35" s="16">
        <v>42.866</v>
      </c>
      <c r="AJ35" s="16">
        <v>30.0</v>
      </c>
      <c r="AK35" s="16">
        <v>50.0</v>
      </c>
      <c r="AL35" s="17">
        <v>37.9546666666667</v>
      </c>
      <c r="AM35" s="18">
        <f t="shared" si="1"/>
        <v>10</v>
      </c>
      <c r="AN35" s="18">
        <f t="shared" si="2"/>
        <v>60</v>
      </c>
      <c r="AO35" s="18">
        <f t="shared" si="3"/>
        <v>33.67549423</v>
      </c>
    </row>
    <row r="36" ht="15.75" customHeight="1">
      <c r="A36" s="14" t="s">
        <v>51</v>
      </c>
      <c r="B36" s="15" t="s">
        <v>19</v>
      </c>
      <c r="C36" s="16">
        <v>22.0</v>
      </c>
      <c r="D36" s="16">
        <v>35.0</v>
      </c>
      <c r="E36" s="16">
        <v>27.2886666666667</v>
      </c>
      <c r="F36" s="16">
        <v>25.0</v>
      </c>
      <c r="G36" s="16">
        <v>50.0</v>
      </c>
      <c r="H36" s="16">
        <v>38.4308333333333</v>
      </c>
      <c r="I36" s="16">
        <v>28.0</v>
      </c>
      <c r="J36" s="16">
        <v>50.0</v>
      </c>
      <c r="K36" s="16">
        <v>38.2052380952381</v>
      </c>
      <c r="L36" s="16">
        <v>25.0</v>
      </c>
      <c r="M36" s="16">
        <v>52.0</v>
      </c>
      <c r="N36" s="16">
        <v>39.3328</v>
      </c>
      <c r="O36" s="16">
        <v>10.0</v>
      </c>
      <c r="P36" s="16">
        <v>28.0</v>
      </c>
      <c r="Q36" s="16">
        <v>15.224</v>
      </c>
      <c r="R36" s="16">
        <v>7.0</v>
      </c>
      <c r="S36" s="16">
        <v>14.0</v>
      </c>
      <c r="T36" s="16">
        <v>10.4532</v>
      </c>
      <c r="U36" s="16">
        <v>6.0</v>
      </c>
      <c r="V36" s="16">
        <v>14.0</v>
      </c>
      <c r="W36" s="16">
        <v>9.5185714285714</v>
      </c>
      <c r="X36" s="16">
        <v>8.0</v>
      </c>
      <c r="Y36" s="16">
        <v>16.0</v>
      </c>
      <c r="Z36" s="16">
        <v>12.7394444444444</v>
      </c>
      <c r="AA36" s="16">
        <v>12.0</v>
      </c>
      <c r="AB36" s="16">
        <v>50.0</v>
      </c>
      <c r="AC36" s="16">
        <v>23.7371428571429</v>
      </c>
      <c r="AD36" s="16">
        <v>30.0</v>
      </c>
      <c r="AE36" s="16">
        <v>45.0</v>
      </c>
      <c r="AF36" s="16">
        <v>37.8777272727273</v>
      </c>
      <c r="AG36" s="16">
        <v>20.0</v>
      </c>
      <c r="AH36" s="16">
        <v>40.0</v>
      </c>
      <c r="AI36" s="16">
        <v>28.6895238095238</v>
      </c>
      <c r="AJ36" s="16">
        <v>20.0</v>
      </c>
      <c r="AK36" s="16">
        <v>40.0</v>
      </c>
      <c r="AL36" s="17">
        <v>29.4575</v>
      </c>
      <c r="AM36" s="18">
        <f t="shared" si="1"/>
        <v>6</v>
      </c>
      <c r="AN36" s="18">
        <f t="shared" si="2"/>
        <v>52</v>
      </c>
      <c r="AO36" s="18">
        <f t="shared" si="3"/>
        <v>25.91288733</v>
      </c>
    </row>
    <row r="37" ht="15.75" customHeight="1">
      <c r="A37" s="14" t="s">
        <v>52</v>
      </c>
      <c r="B37" s="15" t="s">
        <v>19</v>
      </c>
      <c r="C37" s="16">
        <v>30.0</v>
      </c>
      <c r="D37" s="16">
        <v>50.0</v>
      </c>
      <c r="E37" s="16">
        <v>42.0445454545455</v>
      </c>
      <c r="F37" s="16">
        <v>20.0</v>
      </c>
      <c r="G37" s="16">
        <v>45.0</v>
      </c>
      <c r="H37" s="16">
        <v>32.5307407407407</v>
      </c>
      <c r="I37" s="16">
        <v>25.0</v>
      </c>
      <c r="J37" s="16">
        <v>80.0</v>
      </c>
      <c r="K37" s="16">
        <v>44.6656</v>
      </c>
      <c r="L37" s="16">
        <v>35.0</v>
      </c>
      <c r="M37" s="16">
        <v>60.0</v>
      </c>
      <c r="N37" s="16">
        <v>43.3516</v>
      </c>
      <c r="O37" s="16">
        <v>16.0</v>
      </c>
      <c r="P37" s="16">
        <v>50.0</v>
      </c>
      <c r="Q37" s="16">
        <v>41.0696</v>
      </c>
      <c r="R37" s="16">
        <v>35.0</v>
      </c>
      <c r="S37" s="16">
        <v>80.0</v>
      </c>
      <c r="T37" s="16">
        <v>56.0832</v>
      </c>
      <c r="U37" s="16">
        <v>12.0</v>
      </c>
      <c r="V37" s="16">
        <v>40.0</v>
      </c>
      <c r="W37" s="16">
        <v>25.8533333333333</v>
      </c>
      <c r="X37" s="16">
        <v>10.0</v>
      </c>
      <c r="Y37" s="16">
        <v>22.0</v>
      </c>
      <c r="Z37" s="16">
        <v>15.61</v>
      </c>
      <c r="AA37" s="16">
        <v>12.0</v>
      </c>
      <c r="AB37" s="16">
        <v>40.0</v>
      </c>
      <c r="AC37" s="16">
        <v>18.8286363636364</v>
      </c>
      <c r="AD37" s="16">
        <v>25.0</v>
      </c>
      <c r="AE37" s="16">
        <v>80.0</v>
      </c>
      <c r="AF37" s="16">
        <v>42.7090909090909</v>
      </c>
      <c r="AG37" s="16">
        <v>15.0</v>
      </c>
      <c r="AH37" s="16">
        <v>35.0</v>
      </c>
      <c r="AI37" s="16">
        <v>19.6019047619048</v>
      </c>
      <c r="AJ37" s="16">
        <v>15.0</v>
      </c>
      <c r="AK37" s="16">
        <v>40.0</v>
      </c>
      <c r="AL37" s="17">
        <v>25.4917391304348</v>
      </c>
      <c r="AM37" s="18">
        <f t="shared" si="1"/>
        <v>10</v>
      </c>
      <c r="AN37" s="18">
        <f t="shared" si="2"/>
        <v>80</v>
      </c>
      <c r="AO37" s="18">
        <f t="shared" si="3"/>
        <v>33.98666589</v>
      </c>
    </row>
    <row r="38" ht="15.75" customHeight="1">
      <c r="A38" s="14" t="s">
        <v>53</v>
      </c>
      <c r="B38" s="15" t="s">
        <v>19</v>
      </c>
      <c r="C38" s="16">
        <v>50.0</v>
      </c>
      <c r="D38" s="16">
        <v>70.0</v>
      </c>
      <c r="E38" s="16">
        <v>62.5004545454545</v>
      </c>
      <c r="F38" s="16">
        <v>55.0</v>
      </c>
      <c r="G38" s="16">
        <v>70.0</v>
      </c>
      <c r="H38" s="16">
        <v>61.2485</v>
      </c>
      <c r="I38" s="16">
        <v>50.0</v>
      </c>
      <c r="J38" s="16">
        <v>65.0</v>
      </c>
      <c r="K38" s="16">
        <v>57.7083333333333</v>
      </c>
      <c r="L38" s="16">
        <v>45.0</v>
      </c>
      <c r="M38" s="16">
        <v>60.0</v>
      </c>
      <c r="N38" s="16">
        <v>54.8886956521739</v>
      </c>
      <c r="O38" s="16">
        <v>45.0</v>
      </c>
      <c r="P38" s="16">
        <v>100.0</v>
      </c>
      <c r="Q38" s="16">
        <v>58.3329166666667</v>
      </c>
      <c r="R38" s="16">
        <v>50.0</v>
      </c>
      <c r="S38" s="16">
        <v>70.0</v>
      </c>
      <c r="T38" s="16">
        <v>56.4285714285714</v>
      </c>
      <c r="U38" s="16">
        <v>50.0</v>
      </c>
      <c r="V38" s="16">
        <v>90.0</v>
      </c>
      <c r="W38" s="16">
        <v>60.0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>
        <v>60.0</v>
      </c>
      <c r="AH38" s="16">
        <v>70.0</v>
      </c>
      <c r="AI38" s="16">
        <v>63.75</v>
      </c>
      <c r="AJ38" s="16">
        <v>40.0</v>
      </c>
      <c r="AK38" s="16">
        <v>60.0</v>
      </c>
      <c r="AL38" s="17">
        <v>49.1668181818182</v>
      </c>
      <c r="AM38" s="18">
        <f t="shared" si="1"/>
        <v>40</v>
      </c>
      <c r="AN38" s="18">
        <f t="shared" si="2"/>
        <v>100</v>
      </c>
      <c r="AO38" s="18">
        <f t="shared" si="3"/>
        <v>58.22492109</v>
      </c>
    </row>
    <row r="39" ht="15.75" customHeight="1">
      <c r="A39" s="14" t="s">
        <v>54</v>
      </c>
      <c r="B39" s="15" t="s">
        <v>19</v>
      </c>
      <c r="C39" s="16">
        <v>40.0</v>
      </c>
      <c r="D39" s="16">
        <v>55.0</v>
      </c>
      <c r="E39" s="16">
        <v>45.0785714285714</v>
      </c>
      <c r="F39" s="16">
        <v>25.0</v>
      </c>
      <c r="G39" s="16">
        <v>45.0</v>
      </c>
      <c r="H39" s="16">
        <v>35.7365384615385</v>
      </c>
      <c r="I39" s="16">
        <v>30.0</v>
      </c>
      <c r="J39" s="16">
        <v>90.0</v>
      </c>
      <c r="K39" s="16">
        <v>45.9992</v>
      </c>
      <c r="L39" s="16">
        <v>35.0</v>
      </c>
      <c r="M39" s="16">
        <v>55.0</v>
      </c>
      <c r="N39" s="16">
        <v>43.5408333333333</v>
      </c>
      <c r="O39" s="16">
        <v>35.0</v>
      </c>
      <c r="P39" s="16">
        <v>80.0</v>
      </c>
      <c r="Q39" s="16">
        <v>43.3664</v>
      </c>
      <c r="R39" s="16">
        <v>35.0</v>
      </c>
      <c r="S39" s="16">
        <v>100.0</v>
      </c>
      <c r="T39" s="16">
        <v>75.3168</v>
      </c>
      <c r="U39" s="16">
        <v>20.0</v>
      </c>
      <c r="V39" s="16">
        <v>60.0</v>
      </c>
      <c r="W39" s="16">
        <v>35.5120833333333</v>
      </c>
      <c r="X39" s="16">
        <v>16.0</v>
      </c>
      <c r="Y39" s="16">
        <v>30.0</v>
      </c>
      <c r="Z39" s="16">
        <v>21.7434782608696</v>
      </c>
      <c r="AA39" s="16">
        <v>18.0</v>
      </c>
      <c r="AB39" s="16">
        <v>50.0</v>
      </c>
      <c r="AC39" s="16">
        <v>28.7095454545455</v>
      </c>
      <c r="AD39" s="16">
        <v>30.0</v>
      </c>
      <c r="AE39" s="16">
        <v>90.0</v>
      </c>
      <c r="AF39" s="16">
        <v>51.1713636363636</v>
      </c>
      <c r="AG39" s="16">
        <v>15.0</v>
      </c>
      <c r="AH39" s="16">
        <v>40.0</v>
      </c>
      <c r="AI39" s="16">
        <v>22.3390476190476</v>
      </c>
      <c r="AJ39" s="16">
        <v>18.0</v>
      </c>
      <c r="AK39" s="16">
        <v>45.0</v>
      </c>
      <c r="AL39" s="17">
        <v>29.5808695652174</v>
      </c>
      <c r="AM39" s="18">
        <f t="shared" si="1"/>
        <v>15</v>
      </c>
      <c r="AN39" s="18">
        <f t="shared" si="2"/>
        <v>100</v>
      </c>
      <c r="AO39" s="18">
        <f t="shared" si="3"/>
        <v>39.84122759</v>
      </c>
    </row>
    <row r="40" ht="15.75" customHeight="1">
      <c r="A40" s="14" t="s">
        <v>55</v>
      </c>
      <c r="B40" s="15" t="s">
        <v>19</v>
      </c>
      <c r="C40" s="16">
        <v>50.0</v>
      </c>
      <c r="D40" s="16">
        <v>70.0</v>
      </c>
      <c r="E40" s="16">
        <v>61.5852380952381</v>
      </c>
      <c r="F40" s="16">
        <v>40.0</v>
      </c>
      <c r="G40" s="16">
        <v>60.0</v>
      </c>
      <c r="H40" s="16">
        <v>49.1326923076923</v>
      </c>
      <c r="I40" s="16">
        <v>45.0</v>
      </c>
      <c r="J40" s="16">
        <v>90.0</v>
      </c>
      <c r="K40" s="16">
        <v>58.6354545454545</v>
      </c>
      <c r="L40" s="16">
        <v>35.0</v>
      </c>
      <c r="M40" s="16">
        <v>90.0</v>
      </c>
      <c r="N40" s="16">
        <v>66.25</v>
      </c>
      <c r="O40" s="16">
        <v>60.0</v>
      </c>
      <c r="P40" s="16">
        <v>80.0</v>
      </c>
      <c r="Q40" s="16">
        <v>70.1895454545455</v>
      </c>
      <c r="R40" s="16">
        <v>70.0</v>
      </c>
      <c r="S40" s="16">
        <v>150.0</v>
      </c>
      <c r="T40" s="16">
        <v>112.9166666666667</v>
      </c>
      <c r="U40" s="16">
        <v>25.0</v>
      </c>
      <c r="V40" s="16">
        <v>80.0</v>
      </c>
      <c r="W40" s="16">
        <v>50.6427272727273</v>
      </c>
      <c r="X40" s="16">
        <v>22.0</v>
      </c>
      <c r="Y40" s="16">
        <v>40.0</v>
      </c>
      <c r="Z40" s="16">
        <v>31.07375</v>
      </c>
      <c r="AA40" s="16">
        <v>28.0</v>
      </c>
      <c r="AB40" s="16">
        <v>60.0</v>
      </c>
      <c r="AC40" s="16">
        <v>37.3536363636364</v>
      </c>
      <c r="AD40" s="16">
        <v>30.0</v>
      </c>
      <c r="AE40" s="16">
        <v>90.0</v>
      </c>
      <c r="AF40" s="16">
        <v>52.4595454545455</v>
      </c>
      <c r="AG40" s="16">
        <v>18.0</v>
      </c>
      <c r="AH40" s="16">
        <v>40.0</v>
      </c>
      <c r="AI40" s="16">
        <v>22.7119047619048</v>
      </c>
      <c r="AJ40" s="16">
        <v>18.0</v>
      </c>
      <c r="AK40" s="16">
        <v>50.0</v>
      </c>
      <c r="AL40" s="17">
        <v>30.7004347826087</v>
      </c>
      <c r="AM40" s="18">
        <f t="shared" si="1"/>
        <v>18</v>
      </c>
      <c r="AN40" s="18">
        <f t="shared" si="2"/>
        <v>150</v>
      </c>
      <c r="AO40" s="18">
        <f t="shared" si="3"/>
        <v>53.63763298</v>
      </c>
    </row>
    <row r="41" ht="15.75" customHeight="1">
      <c r="A41" s="14" t="s">
        <v>56</v>
      </c>
      <c r="B41" s="15" t="s">
        <v>19</v>
      </c>
      <c r="C41" s="16">
        <v>35.0</v>
      </c>
      <c r="D41" s="16">
        <v>50.0</v>
      </c>
      <c r="E41" s="16">
        <v>42.1213636363636</v>
      </c>
      <c r="F41" s="16">
        <v>25.0</v>
      </c>
      <c r="G41" s="16">
        <v>50.0</v>
      </c>
      <c r="H41" s="16">
        <v>39.6992</v>
      </c>
      <c r="I41" s="16">
        <v>40.0</v>
      </c>
      <c r="J41" s="16">
        <v>65.0</v>
      </c>
      <c r="K41" s="16">
        <v>49.2409090909091</v>
      </c>
      <c r="L41" s="16">
        <v>40.0</v>
      </c>
      <c r="M41" s="16">
        <v>70.0</v>
      </c>
      <c r="N41" s="16">
        <v>51.8648</v>
      </c>
      <c r="O41" s="16">
        <v>35.0</v>
      </c>
      <c r="P41" s="16">
        <v>70.0</v>
      </c>
      <c r="Q41" s="16">
        <v>53.3656</v>
      </c>
      <c r="R41" s="16">
        <v>30.0</v>
      </c>
      <c r="S41" s="16">
        <v>80.0</v>
      </c>
      <c r="T41" s="16">
        <v>52.9332</v>
      </c>
      <c r="U41" s="16">
        <v>18.0</v>
      </c>
      <c r="V41" s="16">
        <v>40.0</v>
      </c>
      <c r="W41" s="16">
        <v>28.7204166666667</v>
      </c>
      <c r="X41" s="16">
        <v>15.0</v>
      </c>
      <c r="Y41" s="16">
        <v>25.0</v>
      </c>
      <c r="Z41" s="16">
        <v>19.8025</v>
      </c>
      <c r="AA41" s="16">
        <v>18.0</v>
      </c>
      <c r="AB41" s="16">
        <v>65.0</v>
      </c>
      <c r="AC41" s="16">
        <v>28.8004545454545</v>
      </c>
      <c r="AD41" s="16">
        <v>25.0</v>
      </c>
      <c r="AE41" s="16">
        <v>90.0</v>
      </c>
      <c r="AF41" s="16">
        <v>47.0427272727273</v>
      </c>
      <c r="AG41" s="16">
        <v>15.0</v>
      </c>
      <c r="AH41" s="16">
        <v>40.0</v>
      </c>
      <c r="AI41" s="16">
        <v>21.923</v>
      </c>
      <c r="AJ41" s="16">
        <v>18.0</v>
      </c>
      <c r="AK41" s="16">
        <v>40.0</v>
      </c>
      <c r="AL41" s="17">
        <v>29.2547826086957</v>
      </c>
      <c r="AM41" s="18">
        <f t="shared" si="1"/>
        <v>15</v>
      </c>
      <c r="AN41" s="18">
        <f t="shared" si="2"/>
        <v>90</v>
      </c>
      <c r="AO41" s="18">
        <f t="shared" si="3"/>
        <v>38.73074615</v>
      </c>
    </row>
    <row r="42" ht="15.75" customHeight="1">
      <c r="A42" s="14" t="s">
        <v>57</v>
      </c>
      <c r="B42" s="15" t="s">
        <v>19</v>
      </c>
      <c r="C42" s="16">
        <v>40.0</v>
      </c>
      <c r="D42" s="16">
        <v>50.0</v>
      </c>
      <c r="E42" s="16">
        <v>43.7118181818182</v>
      </c>
      <c r="F42" s="16">
        <v>35.0</v>
      </c>
      <c r="G42" s="16">
        <v>50.0</v>
      </c>
      <c r="H42" s="16">
        <v>41.6984615384615</v>
      </c>
      <c r="I42" s="16">
        <v>40.0</v>
      </c>
      <c r="J42" s="16">
        <v>65.0</v>
      </c>
      <c r="K42" s="16">
        <v>45.5566666666667</v>
      </c>
      <c r="L42" s="16"/>
      <c r="M42" s="16"/>
      <c r="N42" s="16"/>
      <c r="O42" s="16">
        <v>60.0</v>
      </c>
      <c r="P42" s="16">
        <v>100.0</v>
      </c>
      <c r="Q42" s="16">
        <v>75.5</v>
      </c>
      <c r="R42" s="16">
        <v>70.0</v>
      </c>
      <c r="S42" s="16">
        <v>140.0</v>
      </c>
      <c r="T42" s="16">
        <v>101.304347826087</v>
      </c>
      <c r="U42" s="16">
        <v>35.0</v>
      </c>
      <c r="V42" s="16">
        <v>90.0</v>
      </c>
      <c r="W42" s="16">
        <v>60.1078260869565</v>
      </c>
      <c r="X42" s="16">
        <v>28.0</v>
      </c>
      <c r="Y42" s="16">
        <v>45.0</v>
      </c>
      <c r="Z42" s="16">
        <v>38.5733333333333</v>
      </c>
      <c r="AA42" s="16">
        <v>35.0</v>
      </c>
      <c r="AB42" s="16">
        <v>80.0</v>
      </c>
      <c r="AC42" s="16">
        <v>43.74</v>
      </c>
      <c r="AD42" s="16">
        <v>35.0</v>
      </c>
      <c r="AE42" s="16">
        <v>90.0</v>
      </c>
      <c r="AF42" s="16">
        <v>56.4604545454545</v>
      </c>
      <c r="AG42" s="16">
        <v>18.0</v>
      </c>
      <c r="AH42" s="16">
        <v>40.0</v>
      </c>
      <c r="AI42" s="16">
        <v>24.5533333333333</v>
      </c>
      <c r="AJ42" s="16">
        <v>18.0</v>
      </c>
      <c r="AK42" s="16">
        <v>45.0</v>
      </c>
      <c r="AL42" s="17">
        <v>29.6186363636364</v>
      </c>
      <c r="AM42" s="18">
        <f t="shared" si="1"/>
        <v>18</v>
      </c>
      <c r="AN42" s="18">
        <f t="shared" si="2"/>
        <v>140</v>
      </c>
      <c r="AO42" s="18">
        <f t="shared" si="3"/>
        <v>50.98407981</v>
      </c>
    </row>
    <row r="43" ht="15.75" customHeight="1">
      <c r="A43" s="14" t="s">
        <v>58</v>
      </c>
      <c r="B43" s="15" t="s">
        <v>19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40.0</v>
      </c>
      <c r="V43" s="16">
        <v>60.0</v>
      </c>
      <c r="W43" s="16">
        <v>51.25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7"/>
      <c r="AM43" s="18">
        <f t="shared" si="1"/>
        <v>40</v>
      </c>
      <c r="AN43" s="18">
        <f t="shared" si="2"/>
        <v>60</v>
      </c>
      <c r="AO43" s="18">
        <f t="shared" si="3"/>
        <v>51.25</v>
      </c>
    </row>
    <row r="44" ht="15.75" customHeight="1">
      <c r="A44" s="14" t="s">
        <v>59</v>
      </c>
      <c r="B44" s="15" t="s">
        <v>19</v>
      </c>
      <c r="C44" s="16">
        <v>30.0</v>
      </c>
      <c r="D44" s="16">
        <v>60.0</v>
      </c>
      <c r="E44" s="16">
        <v>47.3463636363636</v>
      </c>
      <c r="F44" s="16">
        <v>40.0</v>
      </c>
      <c r="G44" s="16">
        <v>60.0</v>
      </c>
      <c r="H44" s="16">
        <v>50.6648</v>
      </c>
      <c r="I44" s="16">
        <v>45.0</v>
      </c>
      <c r="J44" s="16">
        <v>60.0</v>
      </c>
      <c r="K44" s="16">
        <v>53.8191666666667</v>
      </c>
      <c r="L44" s="16">
        <v>40.0</v>
      </c>
      <c r="M44" s="16">
        <v>60.0</v>
      </c>
      <c r="N44" s="16">
        <v>48.61</v>
      </c>
      <c r="O44" s="16">
        <v>40.0</v>
      </c>
      <c r="P44" s="16">
        <v>60.0</v>
      </c>
      <c r="Q44" s="16">
        <v>54.2564</v>
      </c>
      <c r="R44" s="16">
        <v>40.0</v>
      </c>
      <c r="S44" s="16">
        <v>70.0</v>
      </c>
      <c r="T44" s="16">
        <v>55.2832</v>
      </c>
      <c r="U44" s="16">
        <v>20.0</v>
      </c>
      <c r="V44" s="16">
        <v>40.0</v>
      </c>
      <c r="W44" s="16">
        <v>31.49125</v>
      </c>
      <c r="X44" s="16">
        <v>20.0</v>
      </c>
      <c r="Y44" s="16">
        <v>32.0</v>
      </c>
      <c r="Z44" s="16">
        <v>26.9979166666667</v>
      </c>
      <c r="AA44" s="16">
        <v>24.0</v>
      </c>
      <c r="AB44" s="16">
        <v>50.0</v>
      </c>
      <c r="AC44" s="16">
        <v>33.4190909090909</v>
      </c>
      <c r="AD44" s="16">
        <v>35.0</v>
      </c>
      <c r="AE44" s="16">
        <v>60.0</v>
      </c>
      <c r="AF44" s="16">
        <v>48.8690909090909</v>
      </c>
      <c r="AG44" s="16">
        <v>18.0</v>
      </c>
      <c r="AH44" s="16">
        <v>45.0</v>
      </c>
      <c r="AI44" s="16">
        <v>31.0295238095238</v>
      </c>
      <c r="AJ44" s="16">
        <v>15.0</v>
      </c>
      <c r="AK44" s="16">
        <v>30.0</v>
      </c>
      <c r="AL44" s="17">
        <v>21.3678260869565</v>
      </c>
      <c r="AM44" s="18">
        <f t="shared" si="1"/>
        <v>15</v>
      </c>
      <c r="AN44" s="18">
        <f t="shared" si="2"/>
        <v>70</v>
      </c>
      <c r="AO44" s="18">
        <f t="shared" si="3"/>
        <v>41.92955239</v>
      </c>
    </row>
    <row r="45" ht="15.75" customHeight="1">
      <c r="A45" s="14" t="s">
        <v>60</v>
      </c>
      <c r="B45" s="15" t="s">
        <v>19</v>
      </c>
      <c r="C45" s="16">
        <v>20.0</v>
      </c>
      <c r="D45" s="16">
        <v>36.0</v>
      </c>
      <c r="E45" s="16">
        <v>27.6157142857143</v>
      </c>
      <c r="F45" s="16">
        <v>24.0</v>
      </c>
      <c r="G45" s="16">
        <v>28.0</v>
      </c>
      <c r="H45" s="16">
        <v>26.0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50.0</v>
      </c>
      <c r="V45" s="16">
        <v>90.0</v>
      </c>
      <c r="W45" s="16">
        <v>66.4285714285714</v>
      </c>
      <c r="X45" s="16">
        <v>45.0</v>
      </c>
      <c r="Y45" s="16">
        <v>80.0</v>
      </c>
      <c r="Z45" s="16">
        <v>60.4713043478261</v>
      </c>
      <c r="AA45" s="16">
        <v>28.0</v>
      </c>
      <c r="AB45" s="16">
        <v>52.0</v>
      </c>
      <c r="AC45" s="16">
        <v>44.0490909090909</v>
      </c>
      <c r="AD45" s="16">
        <v>40.0</v>
      </c>
      <c r="AE45" s="16">
        <v>60.0</v>
      </c>
      <c r="AF45" s="16">
        <v>55.2868181818182</v>
      </c>
      <c r="AG45" s="16">
        <v>40.0</v>
      </c>
      <c r="AH45" s="16">
        <v>65.0</v>
      </c>
      <c r="AI45" s="16">
        <v>55.9519047619048</v>
      </c>
      <c r="AJ45" s="16">
        <v>20.0</v>
      </c>
      <c r="AK45" s="16">
        <v>45.0</v>
      </c>
      <c r="AL45" s="17">
        <v>31.4447826086957</v>
      </c>
      <c r="AM45" s="18">
        <f t="shared" si="1"/>
        <v>20</v>
      </c>
      <c r="AN45" s="18">
        <f t="shared" si="2"/>
        <v>90</v>
      </c>
      <c r="AO45" s="18">
        <f t="shared" si="3"/>
        <v>45.90602332</v>
      </c>
    </row>
    <row r="46" ht="15.75" customHeight="1">
      <c r="A46" s="14" t="s">
        <v>61</v>
      </c>
      <c r="B46" s="15" t="s">
        <v>19</v>
      </c>
      <c r="C46" s="16">
        <v>28.0</v>
      </c>
      <c r="D46" s="16">
        <v>30.0</v>
      </c>
      <c r="E46" s="16">
        <v>29.0</v>
      </c>
      <c r="F46" s="16">
        <v>26.0</v>
      </c>
      <c r="G46" s="16">
        <v>30.0</v>
      </c>
      <c r="H46" s="16">
        <v>28.2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28.0</v>
      </c>
      <c r="V46" s="16">
        <v>80.0</v>
      </c>
      <c r="W46" s="16">
        <v>46.07</v>
      </c>
      <c r="X46" s="16">
        <v>24.0</v>
      </c>
      <c r="Y46" s="16">
        <v>40.0</v>
      </c>
      <c r="Z46" s="16">
        <v>29.5691666666667</v>
      </c>
      <c r="AA46" s="16">
        <v>24.0</v>
      </c>
      <c r="AB46" s="16">
        <v>40.0</v>
      </c>
      <c r="AC46" s="16">
        <v>29.725</v>
      </c>
      <c r="AD46" s="16">
        <v>34.0</v>
      </c>
      <c r="AE46" s="16">
        <v>40.0</v>
      </c>
      <c r="AF46" s="16">
        <v>38.0963636363636</v>
      </c>
      <c r="AG46" s="16">
        <v>30.0</v>
      </c>
      <c r="AH46" s="16">
        <v>60.0</v>
      </c>
      <c r="AI46" s="16">
        <v>39.2825</v>
      </c>
      <c r="AJ46" s="16">
        <v>38.0</v>
      </c>
      <c r="AK46" s="16">
        <v>40.0</v>
      </c>
      <c r="AL46" s="17">
        <v>39.0</v>
      </c>
      <c r="AM46" s="18">
        <f t="shared" si="1"/>
        <v>24</v>
      </c>
      <c r="AN46" s="18">
        <f t="shared" si="2"/>
        <v>80</v>
      </c>
      <c r="AO46" s="18">
        <f t="shared" si="3"/>
        <v>34.86787879</v>
      </c>
    </row>
    <row r="47" ht="15.75" customHeight="1">
      <c r="A47" s="14" t="s">
        <v>62</v>
      </c>
      <c r="B47" s="15" t="s">
        <v>19</v>
      </c>
      <c r="C47" s="16">
        <v>175.0</v>
      </c>
      <c r="D47" s="16">
        <v>350.0</v>
      </c>
      <c r="E47" s="16">
        <v>236.6659090909091</v>
      </c>
      <c r="F47" s="16">
        <v>130.0</v>
      </c>
      <c r="G47" s="16">
        <v>400.0</v>
      </c>
      <c r="H47" s="16">
        <v>227.9866666666667</v>
      </c>
      <c r="I47" s="16">
        <v>150.0</v>
      </c>
      <c r="J47" s="16">
        <v>475.0</v>
      </c>
      <c r="K47" s="16">
        <v>282.275</v>
      </c>
      <c r="L47" s="16">
        <v>190.0</v>
      </c>
      <c r="M47" s="16">
        <v>700.0</v>
      </c>
      <c r="N47" s="16">
        <v>320.5328</v>
      </c>
      <c r="O47" s="16">
        <v>150.0</v>
      </c>
      <c r="P47" s="16">
        <v>225.0</v>
      </c>
      <c r="Q47" s="16">
        <v>174.6525</v>
      </c>
      <c r="R47" s="16">
        <v>150.0</v>
      </c>
      <c r="S47" s="16">
        <v>200.0</v>
      </c>
      <c r="T47" s="16">
        <v>169.0664</v>
      </c>
      <c r="U47" s="16">
        <v>70.0</v>
      </c>
      <c r="V47" s="16">
        <v>200.0</v>
      </c>
      <c r="W47" s="16">
        <v>113.82</v>
      </c>
      <c r="X47" s="16">
        <v>75.0</v>
      </c>
      <c r="Y47" s="16">
        <v>160.0</v>
      </c>
      <c r="Z47" s="16">
        <v>116.1808333333333</v>
      </c>
      <c r="AA47" s="16">
        <v>90.0</v>
      </c>
      <c r="AB47" s="16">
        <v>210.0</v>
      </c>
      <c r="AC47" s="16">
        <v>140.7195454545455</v>
      </c>
      <c r="AD47" s="16">
        <v>90.0</v>
      </c>
      <c r="AE47" s="16">
        <v>180.0</v>
      </c>
      <c r="AF47" s="16">
        <v>120.455</v>
      </c>
      <c r="AG47" s="16">
        <v>70.0</v>
      </c>
      <c r="AH47" s="16">
        <v>140.0</v>
      </c>
      <c r="AI47" s="16">
        <v>98.1747619047619</v>
      </c>
      <c r="AJ47" s="16">
        <v>90.0</v>
      </c>
      <c r="AK47" s="16">
        <v>150.0</v>
      </c>
      <c r="AL47" s="17">
        <v>122.5182608695652</v>
      </c>
      <c r="AM47" s="18">
        <f t="shared" si="1"/>
        <v>70</v>
      </c>
      <c r="AN47" s="18">
        <f t="shared" si="2"/>
        <v>700</v>
      </c>
      <c r="AO47" s="18">
        <f t="shared" si="3"/>
        <v>176.9206398</v>
      </c>
    </row>
    <row r="48" ht="15.75" customHeight="1">
      <c r="A48" s="14" t="s">
        <v>63</v>
      </c>
      <c r="B48" s="15" t="s">
        <v>19</v>
      </c>
      <c r="C48" s="16">
        <v>100.0</v>
      </c>
      <c r="D48" s="16">
        <v>250.0</v>
      </c>
      <c r="E48" s="16">
        <v>178.1818181818182</v>
      </c>
      <c r="F48" s="16">
        <v>100.0</v>
      </c>
      <c r="G48" s="16">
        <v>225.0</v>
      </c>
      <c r="H48" s="16">
        <v>137.5791666666667</v>
      </c>
      <c r="I48" s="16">
        <v>90.0</v>
      </c>
      <c r="J48" s="16">
        <v>160.0</v>
      </c>
      <c r="K48" s="16">
        <v>120.1668</v>
      </c>
      <c r="L48" s="16">
        <v>100.0</v>
      </c>
      <c r="M48" s="16">
        <v>200.0</v>
      </c>
      <c r="N48" s="16">
        <v>148.0864</v>
      </c>
      <c r="O48" s="16">
        <v>140.0</v>
      </c>
      <c r="P48" s="16">
        <v>220.0</v>
      </c>
      <c r="Q48" s="16">
        <v>179.0836</v>
      </c>
      <c r="R48" s="16">
        <v>200.0</v>
      </c>
      <c r="S48" s="16">
        <v>350.0</v>
      </c>
      <c r="T48" s="16">
        <v>265.1315789473684</v>
      </c>
      <c r="U48" s="16">
        <v>150.0</v>
      </c>
      <c r="V48" s="16">
        <v>300.0</v>
      </c>
      <c r="W48" s="16">
        <v>243.6842105263158</v>
      </c>
      <c r="X48" s="16">
        <v>200.0</v>
      </c>
      <c r="Y48" s="16">
        <v>350.0</v>
      </c>
      <c r="Z48" s="16">
        <v>258.3333333333333</v>
      </c>
      <c r="AA48" s="16"/>
      <c r="AB48" s="16"/>
      <c r="AC48" s="16"/>
      <c r="AD48" s="16"/>
      <c r="AE48" s="16"/>
      <c r="AF48" s="16"/>
      <c r="AG48" s="16">
        <v>320.0</v>
      </c>
      <c r="AH48" s="16">
        <v>500.0</v>
      </c>
      <c r="AI48" s="16">
        <v>423.75</v>
      </c>
      <c r="AJ48" s="16">
        <v>150.0</v>
      </c>
      <c r="AK48" s="16">
        <v>400.0</v>
      </c>
      <c r="AL48" s="17">
        <v>237.5360869565217</v>
      </c>
      <c r="AM48" s="18">
        <f t="shared" si="1"/>
        <v>90</v>
      </c>
      <c r="AN48" s="18">
        <f t="shared" si="2"/>
        <v>500</v>
      </c>
      <c r="AO48" s="18">
        <f t="shared" si="3"/>
        <v>219.1532995</v>
      </c>
    </row>
    <row r="49" ht="15.75" customHeight="1">
      <c r="A49" s="14" t="s">
        <v>64</v>
      </c>
      <c r="B49" s="15" t="s">
        <v>19</v>
      </c>
      <c r="C49" s="16">
        <v>25.0</v>
      </c>
      <c r="D49" s="16">
        <v>60.0</v>
      </c>
      <c r="E49" s="16">
        <v>52.2609523809524</v>
      </c>
      <c r="F49" s="16">
        <v>40.0</v>
      </c>
      <c r="G49" s="16">
        <v>65.0</v>
      </c>
      <c r="H49" s="16">
        <v>51.3381481481481</v>
      </c>
      <c r="I49" s="16">
        <v>50.0</v>
      </c>
      <c r="J49" s="16">
        <v>225.0</v>
      </c>
      <c r="K49" s="16">
        <v>125.8333333333333</v>
      </c>
      <c r="L49" s="16">
        <v>80.0</v>
      </c>
      <c r="M49" s="16">
        <v>210.0</v>
      </c>
      <c r="N49" s="16">
        <v>140.6415384615385</v>
      </c>
      <c r="O49" s="16">
        <v>90.0</v>
      </c>
      <c r="P49" s="16">
        <v>130.0</v>
      </c>
      <c r="Q49" s="16">
        <v>117.9585</v>
      </c>
      <c r="R49" s="16">
        <v>50.0</v>
      </c>
      <c r="S49" s="16">
        <v>160.0</v>
      </c>
      <c r="T49" s="16">
        <v>120.9090909090909</v>
      </c>
      <c r="U49" s="16">
        <v>50.0</v>
      </c>
      <c r="V49" s="16">
        <v>150.0</v>
      </c>
      <c r="W49" s="16">
        <v>98.3334782608696</v>
      </c>
      <c r="X49" s="16">
        <v>35.0</v>
      </c>
      <c r="Y49" s="16">
        <v>80.0</v>
      </c>
      <c r="Z49" s="16">
        <v>55.9786956521739</v>
      </c>
      <c r="AA49" s="16">
        <v>20.0</v>
      </c>
      <c r="AB49" s="16">
        <v>50.0</v>
      </c>
      <c r="AC49" s="16">
        <v>27.6563636363636</v>
      </c>
      <c r="AD49" s="16">
        <v>20.0</v>
      </c>
      <c r="AE49" s="16">
        <v>40.0</v>
      </c>
      <c r="AF49" s="16">
        <v>32.5668181818182</v>
      </c>
      <c r="AG49" s="16">
        <v>20.0</v>
      </c>
      <c r="AH49" s="16">
        <v>40.0</v>
      </c>
      <c r="AI49" s="16">
        <v>26.2366666666667</v>
      </c>
      <c r="AJ49" s="16">
        <v>20.0</v>
      </c>
      <c r="AK49" s="16">
        <v>45.0</v>
      </c>
      <c r="AL49" s="17">
        <v>33.7945454545455</v>
      </c>
      <c r="AM49" s="18">
        <f t="shared" si="1"/>
        <v>20</v>
      </c>
      <c r="AN49" s="18">
        <f t="shared" si="2"/>
        <v>225</v>
      </c>
      <c r="AO49" s="18">
        <f t="shared" si="3"/>
        <v>73.62567759</v>
      </c>
    </row>
    <row r="50" ht="15.75" customHeight="1">
      <c r="A50" s="14" t="s">
        <v>65</v>
      </c>
      <c r="B50" s="15" t="s">
        <v>19</v>
      </c>
      <c r="C50" s="16">
        <v>40.0</v>
      </c>
      <c r="D50" s="16">
        <v>75.0</v>
      </c>
      <c r="E50" s="16">
        <v>57.1204545454545</v>
      </c>
      <c r="F50" s="16">
        <v>50.0</v>
      </c>
      <c r="G50" s="16">
        <v>90.0</v>
      </c>
      <c r="H50" s="16">
        <v>69.5479166666667</v>
      </c>
      <c r="I50" s="16">
        <v>40.0</v>
      </c>
      <c r="J50" s="16">
        <v>80.0</v>
      </c>
      <c r="K50" s="16">
        <v>59.6</v>
      </c>
      <c r="L50" s="16">
        <v>45.0</v>
      </c>
      <c r="M50" s="16">
        <v>60.0</v>
      </c>
      <c r="N50" s="16">
        <v>54.698</v>
      </c>
      <c r="O50" s="16">
        <v>45.0</v>
      </c>
      <c r="P50" s="16">
        <v>60.0</v>
      </c>
      <c r="Q50" s="16">
        <v>55.666</v>
      </c>
      <c r="R50" s="16">
        <v>50.0</v>
      </c>
      <c r="S50" s="16">
        <v>80.0</v>
      </c>
      <c r="T50" s="16">
        <v>62.6136363636364</v>
      </c>
      <c r="U50" s="16">
        <v>50.0</v>
      </c>
      <c r="V50" s="16">
        <v>70.0</v>
      </c>
      <c r="W50" s="16">
        <v>58.5</v>
      </c>
      <c r="X50" s="16">
        <v>50.0</v>
      </c>
      <c r="Y50" s="16">
        <v>100.0</v>
      </c>
      <c r="Z50" s="16">
        <v>75.2631578947368</v>
      </c>
      <c r="AA50" s="16">
        <v>50.0</v>
      </c>
      <c r="AB50" s="16">
        <v>90.0</v>
      </c>
      <c r="AC50" s="16">
        <v>64.8863636363636</v>
      </c>
      <c r="AD50" s="16">
        <v>40.0</v>
      </c>
      <c r="AE50" s="16">
        <v>80.0</v>
      </c>
      <c r="AF50" s="16">
        <v>69.47</v>
      </c>
      <c r="AG50" s="16">
        <v>50.0</v>
      </c>
      <c r="AH50" s="16">
        <v>240.0</v>
      </c>
      <c r="AI50" s="16">
        <v>72.3019047619048</v>
      </c>
      <c r="AJ50" s="16">
        <v>30.0</v>
      </c>
      <c r="AK50" s="16">
        <v>75.0</v>
      </c>
      <c r="AL50" s="17">
        <v>46.0986363636364</v>
      </c>
      <c r="AM50" s="18">
        <f t="shared" si="1"/>
        <v>30</v>
      </c>
      <c r="AN50" s="18">
        <f t="shared" si="2"/>
        <v>240</v>
      </c>
      <c r="AO50" s="18">
        <f t="shared" si="3"/>
        <v>62.14717252</v>
      </c>
    </row>
    <row r="51" ht="15.75" customHeight="1">
      <c r="A51" s="14" t="s">
        <v>66</v>
      </c>
      <c r="B51" s="15" t="s">
        <v>19</v>
      </c>
      <c r="C51" s="16">
        <v>55.0</v>
      </c>
      <c r="D51" s="16">
        <v>85.0</v>
      </c>
      <c r="E51" s="16">
        <v>67.3809523809524</v>
      </c>
      <c r="F51" s="16">
        <v>50.0</v>
      </c>
      <c r="G51" s="16">
        <v>100.0</v>
      </c>
      <c r="H51" s="16">
        <v>66.0714285714286</v>
      </c>
      <c r="I51" s="16"/>
      <c r="J51" s="16"/>
      <c r="K51" s="16"/>
      <c r="L51" s="16"/>
      <c r="M51" s="16"/>
      <c r="N51" s="16"/>
      <c r="O51" s="16"/>
      <c r="P51" s="16"/>
      <c r="Q51" s="16"/>
      <c r="R51" s="16">
        <v>60.0</v>
      </c>
      <c r="S51" s="16">
        <v>70.0</v>
      </c>
      <c r="T51" s="16">
        <v>65.0</v>
      </c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>
        <v>90.0</v>
      </c>
      <c r="AH51" s="16">
        <v>220.0</v>
      </c>
      <c r="AI51" s="16">
        <v>144.1666666666667</v>
      </c>
      <c r="AJ51" s="16">
        <v>55.0</v>
      </c>
      <c r="AK51" s="16">
        <v>160.0</v>
      </c>
      <c r="AL51" s="17">
        <v>104.11</v>
      </c>
      <c r="AM51" s="18">
        <f t="shared" si="1"/>
        <v>50</v>
      </c>
      <c r="AN51" s="18">
        <f t="shared" si="2"/>
        <v>220</v>
      </c>
      <c r="AO51" s="18">
        <f t="shared" si="3"/>
        <v>89.34580952</v>
      </c>
    </row>
    <row r="52" ht="15.75" customHeight="1">
      <c r="A52" s="14" t="s">
        <v>67</v>
      </c>
      <c r="B52" s="15" t="s">
        <v>19</v>
      </c>
      <c r="C52" s="16">
        <v>65.0</v>
      </c>
      <c r="D52" s="16">
        <v>90.0</v>
      </c>
      <c r="E52" s="16">
        <v>74.6875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>
        <v>90.0</v>
      </c>
      <c r="AH52" s="16">
        <v>160.0</v>
      </c>
      <c r="AI52" s="16">
        <v>111.0</v>
      </c>
      <c r="AJ52" s="16">
        <v>35.0</v>
      </c>
      <c r="AK52" s="16">
        <v>90.0</v>
      </c>
      <c r="AL52" s="17">
        <v>50.2204347826087</v>
      </c>
      <c r="AM52" s="18">
        <f t="shared" si="1"/>
        <v>35</v>
      </c>
      <c r="AN52" s="18">
        <f t="shared" si="2"/>
        <v>160</v>
      </c>
      <c r="AO52" s="18">
        <f t="shared" si="3"/>
        <v>78.63597826</v>
      </c>
    </row>
    <row r="53" ht="15.75" customHeight="1">
      <c r="A53" s="14" t="s">
        <v>68</v>
      </c>
      <c r="B53" s="15" t="s">
        <v>19</v>
      </c>
      <c r="C53" s="16">
        <v>40.0</v>
      </c>
      <c r="D53" s="16">
        <v>100.0</v>
      </c>
      <c r="E53" s="16">
        <v>57.4609090909091</v>
      </c>
      <c r="F53" s="16">
        <v>35.0</v>
      </c>
      <c r="G53" s="16">
        <v>70.0</v>
      </c>
      <c r="H53" s="16">
        <v>51.1791666666667</v>
      </c>
      <c r="I53" s="16">
        <v>40.0</v>
      </c>
      <c r="J53" s="16">
        <v>70.0</v>
      </c>
      <c r="K53" s="16">
        <v>55.4984</v>
      </c>
      <c r="L53" s="16">
        <v>45.0</v>
      </c>
      <c r="M53" s="16">
        <v>60.0</v>
      </c>
      <c r="N53" s="16">
        <v>54.1328</v>
      </c>
      <c r="O53" s="16">
        <v>40.0</v>
      </c>
      <c r="P53" s="16">
        <v>151.0</v>
      </c>
      <c r="Q53" s="16">
        <v>56.4483333333333</v>
      </c>
      <c r="R53" s="16">
        <v>50.0</v>
      </c>
      <c r="S53" s="16">
        <v>70.0</v>
      </c>
      <c r="T53" s="16">
        <v>59.6590909090909</v>
      </c>
      <c r="U53" s="16">
        <v>50.0</v>
      </c>
      <c r="V53" s="16">
        <v>70.0</v>
      </c>
      <c r="W53" s="16">
        <v>57.1052631578947</v>
      </c>
      <c r="X53" s="16">
        <v>50.0</v>
      </c>
      <c r="Y53" s="16">
        <v>105.0</v>
      </c>
      <c r="Z53" s="16">
        <v>67.4622727272727</v>
      </c>
      <c r="AA53" s="16">
        <v>50.0</v>
      </c>
      <c r="AB53" s="16">
        <v>70.0</v>
      </c>
      <c r="AC53" s="16">
        <v>57.9166666666667</v>
      </c>
      <c r="AD53" s="16">
        <v>70.0</v>
      </c>
      <c r="AE53" s="16">
        <v>100.0</v>
      </c>
      <c r="AF53" s="16">
        <v>86.1368181818182</v>
      </c>
      <c r="AG53" s="16">
        <v>40.0</v>
      </c>
      <c r="AH53" s="16">
        <v>80.0</v>
      </c>
      <c r="AI53" s="16">
        <v>59.9209523809524</v>
      </c>
      <c r="AJ53" s="16">
        <v>40.0</v>
      </c>
      <c r="AK53" s="16">
        <v>70.0</v>
      </c>
      <c r="AL53" s="17">
        <v>50.9477272727273</v>
      </c>
      <c r="AM53" s="18">
        <f t="shared" si="1"/>
        <v>35</v>
      </c>
      <c r="AN53" s="18">
        <f t="shared" si="2"/>
        <v>151</v>
      </c>
      <c r="AO53" s="18">
        <f t="shared" si="3"/>
        <v>59.48903337</v>
      </c>
    </row>
    <row r="54" ht="15.75" customHeight="1">
      <c r="A54" s="14" t="s">
        <v>69</v>
      </c>
      <c r="B54" s="15" t="s">
        <v>19</v>
      </c>
      <c r="C54" s="16">
        <v>30.0</v>
      </c>
      <c r="D54" s="16">
        <v>90.0</v>
      </c>
      <c r="E54" s="16">
        <v>44.9995454545455</v>
      </c>
      <c r="F54" s="16">
        <v>30.0</v>
      </c>
      <c r="G54" s="16">
        <v>60.0</v>
      </c>
      <c r="H54" s="16">
        <v>42.22125</v>
      </c>
      <c r="I54" s="16">
        <v>35.0</v>
      </c>
      <c r="J54" s="16">
        <v>70.0</v>
      </c>
      <c r="K54" s="16">
        <v>45.7988</v>
      </c>
      <c r="L54" s="16">
        <v>35.0</v>
      </c>
      <c r="M54" s="16">
        <v>100.0</v>
      </c>
      <c r="N54" s="16">
        <v>59.58375</v>
      </c>
      <c r="O54" s="16">
        <v>30.0</v>
      </c>
      <c r="P54" s="16">
        <v>45.0</v>
      </c>
      <c r="Q54" s="16">
        <v>38.1656</v>
      </c>
      <c r="R54" s="16">
        <v>30.0</v>
      </c>
      <c r="S54" s="16">
        <v>80.0</v>
      </c>
      <c r="T54" s="16">
        <v>52.5</v>
      </c>
      <c r="U54" s="16">
        <v>30.0</v>
      </c>
      <c r="V54" s="16">
        <v>70.0</v>
      </c>
      <c r="W54" s="16">
        <v>47.0815</v>
      </c>
      <c r="X54" s="16">
        <v>25.0</v>
      </c>
      <c r="Y54" s="16">
        <v>40.0</v>
      </c>
      <c r="Z54" s="16">
        <v>34.6570833333333</v>
      </c>
      <c r="AA54" s="16">
        <v>25.0</v>
      </c>
      <c r="AB54" s="16">
        <v>60.0</v>
      </c>
      <c r="AC54" s="16">
        <v>30.4786363636364</v>
      </c>
      <c r="AD54" s="16">
        <v>35.0</v>
      </c>
      <c r="AE54" s="16">
        <v>60.0</v>
      </c>
      <c r="AF54" s="16">
        <v>45.1481818181818</v>
      </c>
      <c r="AG54" s="16">
        <v>20.0</v>
      </c>
      <c r="AH54" s="16">
        <v>40.0</v>
      </c>
      <c r="AI54" s="16">
        <v>28.4890476190476</v>
      </c>
      <c r="AJ54" s="16">
        <v>20.0</v>
      </c>
      <c r="AK54" s="16">
        <v>40.0</v>
      </c>
      <c r="AL54" s="17">
        <v>31.3747826086957</v>
      </c>
      <c r="AM54" s="18">
        <f t="shared" si="1"/>
        <v>20</v>
      </c>
      <c r="AN54" s="18">
        <f t="shared" si="2"/>
        <v>100</v>
      </c>
      <c r="AO54" s="18">
        <f t="shared" si="3"/>
        <v>41.70818143</v>
      </c>
    </row>
    <row r="55" ht="15.75" customHeight="1">
      <c r="A55" s="14" t="s">
        <v>70</v>
      </c>
      <c r="B55" s="15" t="s">
        <v>19</v>
      </c>
      <c r="C55" s="16">
        <v>35.0</v>
      </c>
      <c r="D55" s="16">
        <v>50.0</v>
      </c>
      <c r="E55" s="16">
        <v>40.3395454545455</v>
      </c>
      <c r="F55" s="16">
        <v>35.0</v>
      </c>
      <c r="G55" s="16">
        <v>50.0</v>
      </c>
      <c r="H55" s="16">
        <v>41.25</v>
      </c>
      <c r="I55" s="16">
        <v>40.0</v>
      </c>
      <c r="J55" s="16">
        <v>70.0</v>
      </c>
      <c r="K55" s="16">
        <v>55.0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>
        <v>25.0</v>
      </c>
      <c r="Y55" s="16">
        <v>40.0</v>
      </c>
      <c r="Z55" s="16">
        <v>34.8741666666667</v>
      </c>
      <c r="AA55" s="16">
        <v>20.0</v>
      </c>
      <c r="AB55" s="16">
        <v>50.0</v>
      </c>
      <c r="AC55" s="16">
        <v>33.9759090909091</v>
      </c>
      <c r="AD55" s="16">
        <v>30.0</v>
      </c>
      <c r="AE55" s="16">
        <v>45.0</v>
      </c>
      <c r="AF55" s="16">
        <v>35.3763636363636</v>
      </c>
      <c r="AG55" s="16">
        <v>20.0</v>
      </c>
      <c r="AH55" s="16">
        <v>35.0</v>
      </c>
      <c r="AI55" s="16">
        <v>28.9185714285714</v>
      </c>
      <c r="AJ55" s="16">
        <v>20.0</v>
      </c>
      <c r="AK55" s="16">
        <v>45.0</v>
      </c>
      <c r="AL55" s="17">
        <v>30.2160869565217</v>
      </c>
      <c r="AM55" s="18">
        <f t="shared" si="1"/>
        <v>20</v>
      </c>
      <c r="AN55" s="18">
        <f t="shared" si="2"/>
        <v>70</v>
      </c>
      <c r="AO55" s="18">
        <f t="shared" si="3"/>
        <v>37.4938304</v>
      </c>
    </row>
    <row r="56" ht="15.75" customHeight="1">
      <c r="A56" s="14" t="s">
        <v>71</v>
      </c>
      <c r="B56" s="15" t="s">
        <v>19</v>
      </c>
      <c r="C56" s="16">
        <v>55.0</v>
      </c>
      <c r="D56" s="16">
        <v>90.0</v>
      </c>
      <c r="E56" s="16">
        <v>71.9038095238095</v>
      </c>
      <c r="F56" s="16">
        <v>55.0</v>
      </c>
      <c r="G56" s="16">
        <v>70.0</v>
      </c>
      <c r="H56" s="16">
        <v>62.6729166666667</v>
      </c>
      <c r="I56" s="16">
        <v>55.0</v>
      </c>
      <c r="J56" s="16">
        <v>80.0</v>
      </c>
      <c r="K56" s="16">
        <v>66.2668</v>
      </c>
      <c r="L56" s="16">
        <v>60.0</v>
      </c>
      <c r="M56" s="16">
        <v>75.0</v>
      </c>
      <c r="N56" s="16">
        <v>67.1183333333333</v>
      </c>
      <c r="O56" s="16">
        <v>60.0</v>
      </c>
      <c r="P56" s="16">
        <v>100.0</v>
      </c>
      <c r="Q56" s="16">
        <v>73.1332</v>
      </c>
      <c r="R56" s="16">
        <v>60.0</v>
      </c>
      <c r="S56" s="16">
        <v>150.0</v>
      </c>
      <c r="T56" s="16">
        <v>99.5</v>
      </c>
      <c r="U56" s="16">
        <v>80.0</v>
      </c>
      <c r="V56" s="16">
        <v>140.0</v>
      </c>
      <c r="W56" s="16">
        <v>118.0</v>
      </c>
      <c r="X56" s="16">
        <v>130.0</v>
      </c>
      <c r="Y56" s="16">
        <v>150.0</v>
      </c>
      <c r="Z56" s="16">
        <v>140.6521739130435</v>
      </c>
      <c r="AA56" s="16">
        <v>90.0</v>
      </c>
      <c r="AB56" s="16">
        <v>200.0</v>
      </c>
      <c r="AC56" s="16">
        <v>148.1818181818182</v>
      </c>
      <c r="AD56" s="16">
        <v>140.0</v>
      </c>
      <c r="AE56" s="16">
        <v>150.0</v>
      </c>
      <c r="AF56" s="16">
        <v>145.2380952380952</v>
      </c>
      <c r="AG56" s="16">
        <v>90.0</v>
      </c>
      <c r="AH56" s="16">
        <v>150.0</v>
      </c>
      <c r="AI56" s="16">
        <v>125.4761904761905</v>
      </c>
      <c r="AJ56" s="16">
        <v>100.0</v>
      </c>
      <c r="AK56" s="16">
        <v>140.0</v>
      </c>
      <c r="AL56" s="17">
        <v>116.4130434782609</v>
      </c>
      <c r="AM56" s="18">
        <f t="shared" si="1"/>
        <v>55</v>
      </c>
      <c r="AN56" s="18">
        <f t="shared" si="2"/>
        <v>200</v>
      </c>
      <c r="AO56" s="18">
        <f t="shared" si="3"/>
        <v>102.8796984</v>
      </c>
    </row>
    <row r="57" ht="15.75" customHeight="1">
      <c r="A57" s="14" t="s">
        <v>72</v>
      </c>
      <c r="B57" s="15" t="s">
        <v>19</v>
      </c>
      <c r="C57" s="16">
        <v>100.0</v>
      </c>
      <c r="D57" s="16">
        <v>150.0</v>
      </c>
      <c r="E57" s="16">
        <v>124.0794736842105</v>
      </c>
      <c r="F57" s="16">
        <v>90.0</v>
      </c>
      <c r="G57" s="16">
        <v>150.0</v>
      </c>
      <c r="H57" s="16">
        <v>115.7142857142857</v>
      </c>
      <c r="I57" s="16">
        <v>110.0</v>
      </c>
      <c r="J57" s="16">
        <v>150.0</v>
      </c>
      <c r="K57" s="16">
        <v>125.9029166666667</v>
      </c>
      <c r="L57" s="16">
        <v>120.0</v>
      </c>
      <c r="M57" s="16">
        <v>160.0</v>
      </c>
      <c r="N57" s="16">
        <v>130.4757142857143</v>
      </c>
      <c r="O57" s="16">
        <v>120.0</v>
      </c>
      <c r="P57" s="16">
        <v>150.0</v>
      </c>
      <c r="Q57" s="16">
        <v>131.97875</v>
      </c>
      <c r="R57" s="16">
        <v>180.0</v>
      </c>
      <c r="S57" s="16">
        <v>200.0</v>
      </c>
      <c r="T57" s="16">
        <v>190.0</v>
      </c>
      <c r="U57" s="16">
        <v>140.0</v>
      </c>
      <c r="V57" s="16">
        <v>200.0</v>
      </c>
      <c r="W57" s="16">
        <v>174.375</v>
      </c>
      <c r="X57" s="16">
        <v>180.0</v>
      </c>
      <c r="Y57" s="16">
        <v>200.0</v>
      </c>
      <c r="Z57" s="16">
        <v>193.2608695652174</v>
      </c>
      <c r="AA57" s="16">
        <v>180.0</v>
      </c>
      <c r="AB57" s="16">
        <v>260.0</v>
      </c>
      <c r="AC57" s="16">
        <v>200.4761904761905</v>
      </c>
      <c r="AD57" s="16">
        <v>190.0</v>
      </c>
      <c r="AE57" s="16">
        <v>200.0</v>
      </c>
      <c r="AF57" s="16">
        <v>195.1136363636364</v>
      </c>
      <c r="AG57" s="16">
        <v>190.0</v>
      </c>
      <c r="AH57" s="16">
        <v>200.0</v>
      </c>
      <c r="AI57" s="16">
        <v>195.0</v>
      </c>
      <c r="AJ57" s="16">
        <v>140.0</v>
      </c>
      <c r="AK57" s="16">
        <v>250.0</v>
      </c>
      <c r="AL57" s="17">
        <v>197.1739130434783</v>
      </c>
      <c r="AM57" s="18">
        <f t="shared" si="1"/>
        <v>90</v>
      </c>
      <c r="AN57" s="18">
        <f t="shared" si="2"/>
        <v>260</v>
      </c>
      <c r="AO57" s="18">
        <f t="shared" si="3"/>
        <v>164.4625625</v>
      </c>
    </row>
    <row r="58" ht="15.75" customHeight="1">
      <c r="A58" s="14" t="s">
        <v>73</v>
      </c>
      <c r="B58" s="15" t="s">
        <v>19</v>
      </c>
      <c r="C58" s="16">
        <v>24.0</v>
      </c>
      <c r="D58" s="16">
        <v>60.0</v>
      </c>
      <c r="E58" s="16">
        <v>38.145</v>
      </c>
      <c r="F58" s="16">
        <v>16.0</v>
      </c>
      <c r="G58" s="16">
        <v>32.0</v>
      </c>
      <c r="H58" s="16">
        <v>24.7381481481481</v>
      </c>
      <c r="I58" s="16">
        <v>15.0</v>
      </c>
      <c r="J58" s="16">
        <v>28.0</v>
      </c>
      <c r="K58" s="16">
        <v>22.3563636363636</v>
      </c>
      <c r="L58" s="16">
        <v>14.0</v>
      </c>
      <c r="M58" s="16">
        <v>26.0</v>
      </c>
      <c r="N58" s="16">
        <v>18.6271428571429</v>
      </c>
      <c r="O58" s="16">
        <v>22.0</v>
      </c>
      <c r="P58" s="16">
        <v>30.0</v>
      </c>
      <c r="Q58" s="16">
        <v>27.1666666666667</v>
      </c>
      <c r="R58" s="16"/>
      <c r="S58" s="16"/>
      <c r="T58" s="16"/>
      <c r="U58" s="16"/>
      <c r="V58" s="16"/>
      <c r="W58" s="16"/>
      <c r="X58" s="16"/>
      <c r="Y58" s="16"/>
      <c r="Z58" s="16"/>
      <c r="AA58" s="16">
        <v>45.0</v>
      </c>
      <c r="AB58" s="16">
        <v>70.0</v>
      </c>
      <c r="AC58" s="16">
        <v>53.6477777777778</v>
      </c>
      <c r="AD58" s="16">
        <v>50.0</v>
      </c>
      <c r="AE58" s="16">
        <v>65.0</v>
      </c>
      <c r="AF58" s="16">
        <v>56.37</v>
      </c>
      <c r="AG58" s="16">
        <v>40.0</v>
      </c>
      <c r="AH58" s="16">
        <v>60.0</v>
      </c>
      <c r="AI58" s="16">
        <v>51.1114285714286</v>
      </c>
      <c r="AJ58" s="16">
        <v>40.0</v>
      </c>
      <c r="AK58" s="16">
        <v>65.0</v>
      </c>
      <c r="AL58" s="17">
        <v>53.54</v>
      </c>
      <c r="AM58" s="18">
        <f t="shared" si="1"/>
        <v>14</v>
      </c>
      <c r="AN58" s="18">
        <f t="shared" si="2"/>
        <v>70</v>
      </c>
      <c r="AO58" s="18">
        <f t="shared" si="3"/>
        <v>38.41139196</v>
      </c>
    </row>
    <row r="59" ht="15.75" customHeight="1">
      <c r="A59" s="14" t="s">
        <v>74</v>
      </c>
      <c r="B59" s="15" t="s">
        <v>19</v>
      </c>
      <c r="C59" s="16">
        <v>40.0</v>
      </c>
      <c r="D59" s="16">
        <v>50.0</v>
      </c>
      <c r="E59" s="16">
        <v>44.62</v>
      </c>
      <c r="F59" s="16">
        <v>35.0</v>
      </c>
      <c r="G59" s="16">
        <v>45.0</v>
      </c>
      <c r="H59" s="16">
        <v>41.735</v>
      </c>
      <c r="I59" s="16">
        <v>40.0</v>
      </c>
      <c r="J59" s="16">
        <v>70.0</v>
      </c>
      <c r="K59" s="16">
        <v>50.883125</v>
      </c>
      <c r="L59" s="16">
        <v>50.0</v>
      </c>
      <c r="M59" s="16">
        <v>60.0</v>
      </c>
      <c r="N59" s="16">
        <v>57.29</v>
      </c>
      <c r="O59" s="16">
        <v>60.0</v>
      </c>
      <c r="P59" s="16">
        <v>85.0</v>
      </c>
      <c r="Q59" s="16">
        <v>71.5744444444444</v>
      </c>
      <c r="R59" s="16">
        <v>50.0</v>
      </c>
      <c r="S59" s="16">
        <v>120.0</v>
      </c>
      <c r="T59" s="16">
        <v>87.5</v>
      </c>
      <c r="U59" s="16">
        <v>30.0</v>
      </c>
      <c r="V59" s="16">
        <v>75.0</v>
      </c>
      <c r="W59" s="16">
        <v>45.332</v>
      </c>
      <c r="X59" s="16">
        <v>28.0</v>
      </c>
      <c r="Y59" s="16">
        <v>40.0</v>
      </c>
      <c r="Z59" s="16">
        <v>33.9</v>
      </c>
      <c r="AA59" s="16">
        <v>28.0</v>
      </c>
      <c r="AB59" s="16">
        <v>50.0</v>
      </c>
      <c r="AC59" s="16">
        <v>35.9857142857143</v>
      </c>
      <c r="AD59" s="16">
        <v>30.0</v>
      </c>
      <c r="AE59" s="16">
        <v>60.0</v>
      </c>
      <c r="AF59" s="16">
        <v>45.2622727272727</v>
      </c>
      <c r="AG59" s="16">
        <v>20.0</v>
      </c>
      <c r="AH59" s="16">
        <v>40.0</v>
      </c>
      <c r="AI59" s="16">
        <v>28.49</v>
      </c>
      <c r="AJ59" s="16">
        <v>20.0</v>
      </c>
      <c r="AK59" s="16">
        <v>45.0</v>
      </c>
      <c r="AL59" s="17">
        <v>31.3618181818182</v>
      </c>
      <c r="AM59" s="18">
        <f t="shared" si="1"/>
        <v>20</v>
      </c>
      <c r="AN59" s="18">
        <f t="shared" si="2"/>
        <v>120</v>
      </c>
      <c r="AO59" s="18">
        <f t="shared" si="3"/>
        <v>47.82786455</v>
      </c>
    </row>
    <row r="60" ht="15.75" customHeight="1">
      <c r="A60" s="14" t="s">
        <v>75</v>
      </c>
      <c r="B60" s="19" t="s">
        <v>19</v>
      </c>
      <c r="C60" s="16">
        <v>100.0</v>
      </c>
      <c r="D60" s="16">
        <v>150.0</v>
      </c>
      <c r="E60" s="16">
        <v>122.7631578947368</v>
      </c>
      <c r="F60" s="16">
        <v>80.0</v>
      </c>
      <c r="G60" s="16">
        <v>120.0</v>
      </c>
      <c r="H60" s="16">
        <v>92.9870833333333</v>
      </c>
      <c r="I60" s="16">
        <v>80.0</v>
      </c>
      <c r="J60" s="16">
        <v>110.0</v>
      </c>
      <c r="K60" s="16">
        <v>92.6091304347826</v>
      </c>
      <c r="L60" s="16">
        <v>70.0</v>
      </c>
      <c r="M60" s="16">
        <v>110.0</v>
      </c>
      <c r="N60" s="16">
        <v>84.47875</v>
      </c>
      <c r="O60" s="16">
        <v>80.0</v>
      </c>
      <c r="P60" s="16">
        <v>130.0</v>
      </c>
      <c r="Q60" s="16">
        <v>103.6363636363636</v>
      </c>
      <c r="R60" s="16">
        <v>100.0</v>
      </c>
      <c r="S60" s="16">
        <v>200.0</v>
      </c>
      <c r="T60" s="16">
        <v>151.5384615384615</v>
      </c>
      <c r="U60" s="16">
        <v>120.0</v>
      </c>
      <c r="V60" s="16">
        <v>150.0</v>
      </c>
      <c r="W60" s="16">
        <v>139.5</v>
      </c>
      <c r="X60" s="16">
        <v>130.0</v>
      </c>
      <c r="Y60" s="16">
        <v>150.0</v>
      </c>
      <c r="Z60" s="16">
        <v>140.2173913043478</v>
      </c>
      <c r="AA60" s="16">
        <v>130.0</v>
      </c>
      <c r="AB60" s="16">
        <v>160.0</v>
      </c>
      <c r="AC60" s="16">
        <v>145.6483333333333</v>
      </c>
      <c r="AD60" s="16">
        <v>140.0</v>
      </c>
      <c r="AE60" s="16">
        <v>160.0</v>
      </c>
      <c r="AF60" s="16">
        <v>145.6818181818182</v>
      </c>
      <c r="AG60" s="16">
        <v>120.0</v>
      </c>
      <c r="AH60" s="16">
        <v>200.0</v>
      </c>
      <c r="AI60" s="16">
        <v>145.952380952381</v>
      </c>
      <c r="AJ60" s="16">
        <v>100.0</v>
      </c>
      <c r="AK60" s="16">
        <v>160.0</v>
      </c>
      <c r="AL60" s="17">
        <v>140.7608695652174</v>
      </c>
      <c r="AM60" s="18">
        <f t="shared" si="1"/>
        <v>70</v>
      </c>
      <c r="AN60" s="18">
        <f t="shared" si="2"/>
        <v>200</v>
      </c>
      <c r="AO60" s="18">
        <f t="shared" si="3"/>
        <v>125.481145</v>
      </c>
    </row>
    <row r="61" ht="15.75" customHeight="1">
      <c r="A61" s="14" t="s">
        <v>76</v>
      </c>
      <c r="B61" s="15" t="s">
        <v>19</v>
      </c>
      <c r="C61" s="16">
        <v>30.0</v>
      </c>
      <c r="D61" s="16">
        <v>50.0</v>
      </c>
      <c r="E61" s="16">
        <v>40.259375</v>
      </c>
      <c r="F61" s="16">
        <v>20.0</v>
      </c>
      <c r="G61" s="16">
        <v>90.0</v>
      </c>
      <c r="H61" s="16">
        <v>34.0880769230769</v>
      </c>
      <c r="I61" s="16">
        <v>30.0</v>
      </c>
      <c r="J61" s="16">
        <v>90.0</v>
      </c>
      <c r="K61" s="16">
        <v>40.4368421052632</v>
      </c>
      <c r="L61" s="16"/>
      <c r="M61" s="16"/>
      <c r="N61" s="16"/>
      <c r="O61" s="16">
        <v>35.0</v>
      </c>
      <c r="P61" s="16">
        <v>45.0</v>
      </c>
      <c r="Q61" s="16">
        <v>38.6538461538462</v>
      </c>
      <c r="R61" s="16">
        <v>35.0</v>
      </c>
      <c r="S61" s="16">
        <v>60.0</v>
      </c>
      <c r="T61" s="16">
        <v>45.2</v>
      </c>
      <c r="U61" s="16">
        <v>30.0</v>
      </c>
      <c r="V61" s="16">
        <v>50.0</v>
      </c>
      <c r="W61" s="16">
        <v>43.2247826086957</v>
      </c>
      <c r="X61" s="16">
        <v>20.0</v>
      </c>
      <c r="Y61" s="16">
        <v>40.0</v>
      </c>
      <c r="Z61" s="16">
        <v>25.3108333333333</v>
      </c>
      <c r="AA61" s="16">
        <v>20.0</v>
      </c>
      <c r="AB61" s="16">
        <v>30.0</v>
      </c>
      <c r="AC61" s="16">
        <v>23.8204761904762</v>
      </c>
      <c r="AD61" s="16">
        <v>30.0</v>
      </c>
      <c r="AE61" s="16">
        <v>45.0</v>
      </c>
      <c r="AF61" s="16">
        <v>34.96</v>
      </c>
      <c r="AG61" s="16">
        <v>20.0</v>
      </c>
      <c r="AH61" s="16">
        <v>35.0</v>
      </c>
      <c r="AI61" s="16">
        <v>28.0533333333333</v>
      </c>
      <c r="AJ61" s="16">
        <v>20.0</v>
      </c>
      <c r="AK61" s="16">
        <v>35.0</v>
      </c>
      <c r="AL61" s="17">
        <v>28.285</v>
      </c>
      <c r="AM61" s="18">
        <f t="shared" si="1"/>
        <v>20</v>
      </c>
      <c r="AN61" s="18">
        <f t="shared" si="2"/>
        <v>90</v>
      </c>
      <c r="AO61" s="18">
        <f t="shared" si="3"/>
        <v>34.7538696</v>
      </c>
    </row>
    <row r="62" ht="15.75" customHeight="1">
      <c r="A62" s="14" t="s">
        <v>77</v>
      </c>
      <c r="B62" s="15" t="s">
        <v>19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>
        <v>20.0</v>
      </c>
      <c r="Y62" s="16">
        <v>25.0</v>
      </c>
      <c r="Z62" s="16">
        <v>22.5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7"/>
      <c r="AM62" s="18">
        <f t="shared" si="1"/>
        <v>20</v>
      </c>
      <c r="AN62" s="18">
        <f t="shared" si="2"/>
        <v>25</v>
      </c>
      <c r="AO62" s="18">
        <f t="shared" si="3"/>
        <v>22.5</v>
      </c>
    </row>
    <row r="63" ht="15.75" customHeight="1">
      <c r="A63" s="14" t="s">
        <v>78</v>
      </c>
      <c r="B63" s="15" t="s">
        <v>19</v>
      </c>
      <c r="C63" s="16">
        <v>70.0</v>
      </c>
      <c r="D63" s="16">
        <v>100.0</v>
      </c>
      <c r="E63" s="16">
        <v>82.16</v>
      </c>
      <c r="F63" s="16">
        <v>65.0</v>
      </c>
      <c r="G63" s="16">
        <v>85.0</v>
      </c>
      <c r="H63" s="16">
        <v>75.5446153846154</v>
      </c>
      <c r="I63" s="16">
        <v>70.0</v>
      </c>
      <c r="J63" s="16">
        <v>75.0</v>
      </c>
      <c r="K63" s="16">
        <v>72.7324</v>
      </c>
      <c r="L63" s="16">
        <v>70.0</v>
      </c>
      <c r="M63" s="16">
        <v>80.0</v>
      </c>
      <c r="N63" s="16">
        <v>75.8672</v>
      </c>
      <c r="O63" s="16">
        <v>70.0</v>
      </c>
      <c r="P63" s="16">
        <v>90.0</v>
      </c>
      <c r="Q63" s="16">
        <v>74.0970833333333</v>
      </c>
      <c r="R63" s="16">
        <v>60.0</v>
      </c>
      <c r="S63" s="16">
        <v>80.0</v>
      </c>
      <c r="T63" s="16">
        <v>70.4</v>
      </c>
      <c r="U63" s="16">
        <v>50.0</v>
      </c>
      <c r="V63" s="16">
        <v>80.0</v>
      </c>
      <c r="W63" s="16">
        <v>64.2857142857143</v>
      </c>
      <c r="X63" s="16">
        <v>55.0</v>
      </c>
      <c r="Y63" s="16">
        <v>80.0</v>
      </c>
      <c r="Z63" s="16">
        <v>65.1136363636364</v>
      </c>
      <c r="AA63" s="16">
        <v>60.0</v>
      </c>
      <c r="AB63" s="16">
        <v>80.0</v>
      </c>
      <c r="AC63" s="16">
        <v>68.4090909090909</v>
      </c>
      <c r="AD63" s="16">
        <v>70.0</v>
      </c>
      <c r="AE63" s="16">
        <v>85.0</v>
      </c>
      <c r="AF63" s="16">
        <v>77.6886363636364</v>
      </c>
      <c r="AG63" s="16">
        <v>75.0</v>
      </c>
      <c r="AH63" s="16">
        <v>80.0</v>
      </c>
      <c r="AI63" s="16">
        <v>77.5790476190476</v>
      </c>
      <c r="AJ63" s="16">
        <v>70.0</v>
      </c>
      <c r="AK63" s="16">
        <v>80.0</v>
      </c>
      <c r="AL63" s="17">
        <v>73.1739130434783</v>
      </c>
      <c r="AM63" s="18">
        <f t="shared" si="1"/>
        <v>50</v>
      </c>
      <c r="AN63" s="18">
        <f t="shared" si="2"/>
        <v>100</v>
      </c>
      <c r="AO63" s="18">
        <f t="shared" si="3"/>
        <v>73.08761144</v>
      </c>
    </row>
    <row r="64" ht="15.75" customHeight="1">
      <c r="A64" s="14" t="s">
        <v>79</v>
      </c>
      <c r="B64" s="15" t="s">
        <v>19</v>
      </c>
      <c r="C64" s="16">
        <v>85.0</v>
      </c>
      <c r="D64" s="16">
        <v>110.0</v>
      </c>
      <c r="E64" s="16">
        <v>95.0195454545455</v>
      </c>
      <c r="F64" s="16">
        <v>90.0</v>
      </c>
      <c r="G64" s="16">
        <v>160.0</v>
      </c>
      <c r="H64" s="16">
        <v>106.715</v>
      </c>
      <c r="I64" s="16">
        <v>90.0</v>
      </c>
      <c r="J64" s="16">
        <v>180.0</v>
      </c>
      <c r="K64" s="16">
        <v>147.84875</v>
      </c>
      <c r="L64" s="16">
        <v>65.0</v>
      </c>
      <c r="M64" s="16">
        <v>100.0</v>
      </c>
      <c r="N64" s="16">
        <v>76.9992</v>
      </c>
      <c r="O64" s="16">
        <v>60.0</v>
      </c>
      <c r="P64" s="16">
        <v>70.0</v>
      </c>
      <c r="Q64" s="16">
        <v>65.70125</v>
      </c>
      <c r="R64" s="16">
        <v>50.0</v>
      </c>
      <c r="S64" s="16">
        <v>70.0</v>
      </c>
      <c r="T64" s="16">
        <v>62.4168</v>
      </c>
      <c r="U64" s="16">
        <v>50.0</v>
      </c>
      <c r="V64" s="16">
        <v>70.0</v>
      </c>
      <c r="W64" s="16">
        <v>57.9347826086957</v>
      </c>
      <c r="X64" s="16">
        <v>55.0</v>
      </c>
      <c r="Y64" s="16">
        <v>60.0</v>
      </c>
      <c r="Z64" s="16">
        <v>57.5</v>
      </c>
      <c r="AA64" s="16">
        <v>26.0</v>
      </c>
      <c r="AB64" s="16">
        <v>70.0</v>
      </c>
      <c r="AC64" s="16">
        <v>59.5</v>
      </c>
      <c r="AD64" s="16">
        <v>55.0</v>
      </c>
      <c r="AE64" s="16">
        <v>75.0</v>
      </c>
      <c r="AF64" s="16">
        <v>58.8331818181818</v>
      </c>
      <c r="AG64" s="16">
        <v>55.0</v>
      </c>
      <c r="AH64" s="16">
        <v>65.0</v>
      </c>
      <c r="AI64" s="16">
        <v>59.4442857142857</v>
      </c>
      <c r="AJ64" s="16">
        <v>65.0</v>
      </c>
      <c r="AK64" s="16">
        <v>80.0</v>
      </c>
      <c r="AL64" s="17">
        <v>75.9782608695652</v>
      </c>
      <c r="AM64" s="18">
        <f t="shared" si="1"/>
        <v>26</v>
      </c>
      <c r="AN64" s="18">
        <f t="shared" si="2"/>
        <v>180</v>
      </c>
      <c r="AO64" s="18">
        <f t="shared" si="3"/>
        <v>76.99092137</v>
      </c>
    </row>
    <row r="65" ht="15.75" customHeight="1">
      <c r="A65" s="14" t="s">
        <v>80</v>
      </c>
      <c r="B65" s="15" t="s">
        <v>19</v>
      </c>
      <c r="C65" s="16">
        <v>60.0</v>
      </c>
      <c r="D65" s="16">
        <v>70.0</v>
      </c>
      <c r="E65" s="16">
        <v>67.9342857142857</v>
      </c>
      <c r="F65" s="16">
        <v>60.0</v>
      </c>
      <c r="G65" s="16">
        <v>70.0</v>
      </c>
      <c r="H65" s="16">
        <v>67.8374074074074</v>
      </c>
      <c r="I65" s="16">
        <v>60.0</v>
      </c>
      <c r="J65" s="16">
        <v>70.0</v>
      </c>
      <c r="K65" s="16">
        <v>67.2992</v>
      </c>
      <c r="L65" s="16">
        <v>65.0</v>
      </c>
      <c r="M65" s="16">
        <v>70.0</v>
      </c>
      <c r="N65" s="16">
        <v>67.666</v>
      </c>
      <c r="O65" s="16">
        <v>60.0</v>
      </c>
      <c r="P65" s="16">
        <v>70.0</v>
      </c>
      <c r="Q65" s="16">
        <v>67.6078260869565</v>
      </c>
      <c r="R65" s="16">
        <v>50.0</v>
      </c>
      <c r="S65" s="16">
        <v>70.0</v>
      </c>
      <c r="T65" s="16">
        <v>63.0</v>
      </c>
      <c r="U65" s="16">
        <v>55.0</v>
      </c>
      <c r="V65" s="16">
        <v>60.0</v>
      </c>
      <c r="W65" s="16">
        <v>57.5</v>
      </c>
      <c r="X65" s="16">
        <v>55.0</v>
      </c>
      <c r="Y65" s="16">
        <v>60.0</v>
      </c>
      <c r="Z65" s="16">
        <v>57.5</v>
      </c>
      <c r="AA65" s="16">
        <v>55.0</v>
      </c>
      <c r="AB65" s="16">
        <v>85.0</v>
      </c>
      <c r="AC65" s="16">
        <v>62.1590909090909</v>
      </c>
      <c r="AD65" s="16">
        <v>50.0</v>
      </c>
      <c r="AE65" s="16">
        <v>75.0</v>
      </c>
      <c r="AF65" s="16">
        <v>57.5377272727273</v>
      </c>
      <c r="AG65" s="16">
        <v>55.0</v>
      </c>
      <c r="AH65" s="16">
        <v>65.0</v>
      </c>
      <c r="AI65" s="16">
        <v>57.777619047619</v>
      </c>
      <c r="AJ65" s="16">
        <v>55.0</v>
      </c>
      <c r="AK65" s="16">
        <v>80.0</v>
      </c>
      <c r="AL65" s="17">
        <v>62.1739130434783</v>
      </c>
      <c r="AM65" s="18">
        <f t="shared" si="1"/>
        <v>50</v>
      </c>
      <c r="AN65" s="18">
        <f t="shared" si="2"/>
        <v>85</v>
      </c>
      <c r="AO65" s="18">
        <f t="shared" si="3"/>
        <v>62.99942246</v>
      </c>
    </row>
    <row r="66" ht="15.75" customHeight="1">
      <c r="A66" s="14" t="s">
        <v>81</v>
      </c>
      <c r="B66" s="15" t="s">
        <v>19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55.0</v>
      </c>
      <c r="V66" s="16">
        <v>60.0</v>
      </c>
      <c r="W66" s="16">
        <v>57.5</v>
      </c>
      <c r="X66" s="16"/>
      <c r="Y66" s="16"/>
      <c r="Z66" s="16"/>
      <c r="AA66" s="16"/>
      <c r="AB66" s="16"/>
      <c r="AC66" s="16"/>
      <c r="AD66" s="16">
        <v>55.0</v>
      </c>
      <c r="AE66" s="16">
        <v>130.0</v>
      </c>
      <c r="AF66" s="16">
        <v>103.834</v>
      </c>
      <c r="AG66" s="16">
        <v>90.0</v>
      </c>
      <c r="AH66" s="16">
        <v>100.0</v>
      </c>
      <c r="AI66" s="16">
        <v>95.0</v>
      </c>
      <c r="AJ66" s="16">
        <v>90.0</v>
      </c>
      <c r="AK66" s="16">
        <v>100.0</v>
      </c>
      <c r="AL66" s="17">
        <v>95.1958823529412</v>
      </c>
      <c r="AM66" s="18">
        <f t="shared" si="1"/>
        <v>55</v>
      </c>
      <c r="AN66" s="18">
        <f t="shared" si="2"/>
        <v>130</v>
      </c>
      <c r="AO66" s="18">
        <f t="shared" si="3"/>
        <v>87.88247059</v>
      </c>
    </row>
    <row r="67" ht="15.75" customHeight="1">
      <c r="A67" s="14" t="s">
        <v>82</v>
      </c>
      <c r="B67" s="15" t="s">
        <v>19</v>
      </c>
      <c r="C67" s="16">
        <v>90.0</v>
      </c>
      <c r="D67" s="16">
        <v>200.0</v>
      </c>
      <c r="E67" s="16">
        <v>138.0681818181818</v>
      </c>
      <c r="F67" s="16">
        <v>25.0</v>
      </c>
      <c r="G67" s="16">
        <v>200.0</v>
      </c>
      <c r="H67" s="16">
        <v>142.9011111111111</v>
      </c>
      <c r="I67" s="16">
        <v>35.0</v>
      </c>
      <c r="J67" s="16">
        <v>190.0</v>
      </c>
      <c r="K67" s="16">
        <v>136.4332</v>
      </c>
      <c r="L67" s="16">
        <v>100.0</v>
      </c>
      <c r="M67" s="16">
        <v>225.0</v>
      </c>
      <c r="N67" s="16">
        <v>146.8</v>
      </c>
      <c r="O67" s="16">
        <v>100.0</v>
      </c>
      <c r="P67" s="16">
        <v>200.0</v>
      </c>
      <c r="Q67" s="16">
        <v>144.1</v>
      </c>
      <c r="R67" s="16">
        <v>100.0</v>
      </c>
      <c r="S67" s="16">
        <v>180.0</v>
      </c>
      <c r="T67" s="16">
        <v>134.9668</v>
      </c>
      <c r="U67" s="16">
        <v>40.0</v>
      </c>
      <c r="V67" s="16">
        <v>140.0</v>
      </c>
      <c r="W67" s="16">
        <v>123.1945833333333</v>
      </c>
      <c r="X67" s="16">
        <v>90.0</v>
      </c>
      <c r="Y67" s="16">
        <v>140.0</v>
      </c>
      <c r="Z67" s="16">
        <v>121.5279166666667</v>
      </c>
      <c r="AA67" s="16">
        <v>80.0</v>
      </c>
      <c r="AB67" s="16">
        <v>125.0</v>
      </c>
      <c r="AC67" s="16">
        <v>94.5459090909091</v>
      </c>
      <c r="AD67" s="16">
        <v>40.0</v>
      </c>
      <c r="AE67" s="16">
        <v>110.0</v>
      </c>
      <c r="AF67" s="16">
        <v>92.0463636363636</v>
      </c>
      <c r="AG67" s="16">
        <v>90.0</v>
      </c>
      <c r="AH67" s="16">
        <v>120.0</v>
      </c>
      <c r="AI67" s="16">
        <v>105.08</v>
      </c>
      <c r="AJ67" s="16">
        <v>90.0</v>
      </c>
      <c r="AK67" s="16">
        <v>150.0</v>
      </c>
      <c r="AL67" s="17">
        <v>111.1595652173913</v>
      </c>
      <c r="AM67" s="18">
        <f t="shared" si="1"/>
        <v>25</v>
      </c>
      <c r="AN67" s="18">
        <f t="shared" si="2"/>
        <v>225</v>
      </c>
      <c r="AO67" s="18">
        <f t="shared" si="3"/>
        <v>124.2353026</v>
      </c>
    </row>
    <row r="68" ht="15.75" customHeight="1">
      <c r="A68" s="14" t="s">
        <v>83</v>
      </c>
      <c r="B68" s="15" t="s">
        <v>84</v>
      </c>
      <c r="C68" s="16">
        <v>45.0</v>
      </c>
      <c r="D68" s="16">
        <v>90.0</v>
      </c>
      <c r="E68" s="16">
        <v>70.3409090909091</v>
      </c>
      <c r="F68" s="16">
        <v>50.0</v>
      </c>
      <c r="G68" s="16">
        <v>80.0</v>
      </c>
      <c r="H68" s="16">
        <v>64.9074074074074</v>
      </c>
      <c r="I68" s="16">
        <v>40.0</v>
      </c>
      <c r="J68" s="16">
        <v>60.0</v>
      </c>
      <c r="K68" s="16">
        <v>54.3</v>
      </c>
      <c r="L68" s="16">
        <v>45.0</v>
      </c>
      <c r="M68" s="16">
        <v>60.0</v>
      </c>
      <c r="N68" s="16">
        <v>52.9</v>
      </c>
      <c r="O68" s="16">
        <v>30.0</v>
      </c>
      <c r="P68" s="16">
        <v>65.0</v>
      </c>
      <c r="Q68" s="16">
        <v>41.3</v>
      </c>
      <c r="R68" s="16">
        <v>35.0</v>
      </c>
      <c r="S68" s="16">
        <v>60.0</v>
      </c>
      <c r="T68" s="16">
        <v>44.2</v>
      </c>
      <c r="U68" s="16">
        <v>40.0</v>
      </c>
      <c r="V68" s="16">
        <v>70.0</v>
      </c>
      <c r="W68" s="16">
        <v>47.04875</v>
      </c>
      <c r="X68" s="16">
        <v>40.0</v>
      </c>
      <c r="Y68" s="16">
        <v>75.0</v>
      </c>
      <c r="Z68" s="16">
        <v>50.9716666666667</v>
      </c>
      <c r="AA68" s="16">
        <v>35.0</v>
      </c>
      <c r="AB68" s="16">
        <v>50.0</v>
      </c>
      <c r="AC68" s="16">
        <v>43.0677272727273</v>
      </c>
      <c r="AD68" s="16">
        <v>30.0</v>
      </c>
      <c r="AE68" s="16">
        <v>50.0</v>
      </c>
      <c r="AF68" s="16">
        <v>38.4827272727273</v>
      </c>
      <c r="AG68" s="16">
        <v>30.0</v>
      </c>
      <c r="AH68" s="16">
        <v>45.0</v>
      </c>
      <c r="AI68" s="16">
        <v>39.9195238095238</v>
      </c>
      <c r="AJ68" s="16">
        <v>35.0</v>
      </c>
      <c r="AK68" s="16">
        <v>60.0</v>
      </c>
      <c r="AL68" s="17">
        <v>46.6665217391304</v>
      </c>
      <c r="AM68" s="18">
        <f t="shared" si="1"/>
        <v>30</v>
      </c>
      <c r="AN68" s="18">
        <f t="shared" si="2"/>
        <v>90</v>
      </c>
      <c r="AO68" s="18">
        <f t="shared" si="3"/>
        <v>49.50876944</v>
      </c>
    </row>
    <row r="69" ht="15.75" customHeight="1">
      <c r="A69" s="14" t="s">
        <v>85</v>
      </c>
      <c r="B69" s="15" t="s">
        <v>86</v>
      </c>
      <c r="C69" s="16">
        <v>200.0</v>
      </c>
      <c r="D69" s="16">
        <v>500.0</v>
      </c>
      <c r="E69" s="16">
        <v>349.5454545454545</v>
      </c>
      <c r="F69" s="16">
        <v>200.0</v>
      </c>
      <c r="G69" s="16">
        <v>700.0</v>
      </c>
      <c r="H69" s="16">
        <v>390.0</v>
      </c>
      <c r="I69" s="16">
        <v>200.0</v>
      </c>
      <c r="J69" s="16">
        <v>500.0</v>
      </c>
      <c r="K69" s="16">
        <v>344.8</v>
      </c>
      <c r="L69" s="16">
        <v>100.0</v>
      </c>
      <c r="M69" s="16">
        <v>500.0</v>
      </c>
      <c r="N69" s="16">
        <v>305.0</v>
      </c>
      <c r="O69" s="16">
        <v>200.0</v>
      </c>
      <c r="P69" s="16">
        <v>500.0</v>
      </c>
      <c r="Q69" s="16">
        <v>338.4</v>
      </c>
      <c r="R69" s="16">
        <v>200.0</v>
      </c>
      <c r="S69" s="16">
        <v>600.0</v>
      </c>
      <c r="T69" s="16">
        <v>342.6664</v>
      </c>
      <c r="U69" s="16">
        <v>200.0</v>
      </c>
      <c r="V69" s="16">
        <v>400.0</v>
      </c>
      <c r="W69" s="16">
        <v>296.5279166666667</v>
      </c>
      <c r="X69" s="16">
        <v>200.0</v>
      </c>
      <c r="Y69" s="16">
        <v>400.0</v>
      </c>
      <c r="Z69" s="16">
        <v>293.4782608695652</v>
      </c>
      <c r="AA69" s="16">
        <v>150.0</v>
      </c>
      <c r="AB69" s="16">
        <v>400.0</v>
      </c>
      <c r="AC69" s="16">
        <v>288.485</v>
      </c>
      <c r="AD69" s="16">
        <v>200.0</v>
      </c>
      <c r="AE69" s="16">
        <v>400.0</v>
      </c>
      <c r="AF69" s="16">
        <v>298.4128571428571</v>
      </c>
      <c r="AG69" s="16">
        <v>200.0</v>
      </c>
      <c r="AH69" s="16">
        <v>400.0</v>
      </c>
      <c r="AI69" s="16">
        <v>300.0</v>
      </c>
      <c r="AJ69" s="16">
        <v>200.0</v>
      </c>
      <c r="AK69" s="16">
        <v>400.0</v>
      </c>
      <c r="AL69" s="17">
        <v>299.2391304347826</v>
      </c>
      <c r="AM69" s="18">
        <f t="shared" si="1"/>
        <v>100</v>
      </c>
      <c r="AN69" s="18">
        <f t="shared" si="2"/>
        <v>700</v>
      </c>
      <c r="AO69" s="18">
        <f t="shared" si="3"/>
        <v>320.5462516</v>
      </c>
    </row>
    <row r="70" ht="15.75" customHeight="1">
      <c r="A70" s="14" t="s">
        <v>87</v>
      </c>
      <c r="B70" s="15" t="s">
        <v>19</v>
      </c>
      <c r="C70" s="16">
        <v>220.0</v>
      </c>
      <c r="D70" s="16">
        <v>275.0</v>
      </c>
      <c r="E70" s="16">
        <v>253.6363636363636</v>
      </c>
      <c r="F70" s="16">
        <v>230.0</v>
      </c>
      <c r="G70" s="16">
        <v>310.0</v>
      </c>
      <c r="H70" s="16">
        <v>260.9</v>
      </c>
      <c r="I70" s="16">
        <v>140.0</v>
      </c>
      <c r="J70" s="16">
        <v>260.0</v>
      </c>
      <c r="K70" s="16">
        <v>247.6086956521739</v>
      </c>
      <c r="L70" s="16">
        <v>225.0</v>
      </c>
      <c r="M70" s="16">
        <v>260.0</v>
      </c>
      <c r="N70" s="16">
        <v>245.7</v>
      </c>
      <c r="O70" s="16">
        <v>210.0</v>
      </c>
      <c r="P70" s="16">
        <v>250.0</v>
      </c>
      <c r="Q70" s="16">
        <v>229.3</v>
      </c>
      <c r="R70" s="16">
        <v>190.0</v>
      </c>
      <c r="S70" s="16">
        <v>260.0</v>
      </c>
      <c r="T70" s="16">
        <v>225.8</v>
      </c>
      <c r="U70" s="16">
        <v>220.0</v>
      </c>
      <c r="V70" s="16">
        <v>280.0</v>
      </c>
      <c r="W70" s="16">
        <v>232.6190476190476</v>
      </c>
      <c r="X70" s="16">
        <v>190.0</v>
      </c>
      <c r="Y70" s="16">
        <v>280.0</v>
      </c>
      <c r="Z70" s="16">
        <v>237.5</v>
      </c>
      <c r="AA70" s="16">
        <v>175.0</v>
      </c>
      <c r="AB70" s="16">
        <v>225.0</v>
      </c>
      <c r="AC70" s="16">
        <v>192.8031818181818</v>
      </c>
      <c r="AD70" s="16">
        <v>200.0</v>
      </c>
      <c r="AE70" s="16">
        <v>300.0</v>
      </c>
      <c r="AF70" s="16">
        <v>267.2727272727273</v>
      </c>
      <c r="AG70" s="16">
        <v>200.0</v>
      </c>
      <c r="AH70" s="16">
        <v>300.0</v>
      </c>
      <c r="AI70" s="16">
        <v>233.0157142857143</v>
      </c>
      <c r="AJ70" s="16">
        <v>200.0</v>
      </c>
      <c r="AK70" s="16">
        <v>250.0</v>
      </c>
      <c r="AL70" s="17">
        <v>222.4240909090909</v>
      </c>
      <c r="AM70" s="18">
        <f t="shared" si="1"/>
        <v>140</v>
      </c>
      <c r="AN70" s="18">
        <f t="shared" si="2"/>
        <v>310</v>
      </c>
      <c r="AO70" s="18">
        <f t="shared" si="3"/>
        <v>237.3816518</v>
      </c>
    </row>
    <row r="71" ht="15.75" customHeight="1">
      <c r="A71" s="14" t="s">
        <v>88</v>
      </c>
      <c r="B71" s="15" t="s">
        <v>19</v>
      </c>
      <c r="C71" s="16">
        <v>85.0</v>
      </c>
      <c r="D71" s="16">
        <v>125.0</v>
      </c>
      <c r="E71" s="16">
        <v>108.375</v>
      </c>
      <c r="F71" s="16">
        <v>65.0</v>
      </c>
      <c r="G71" s="16">
        <v>115.0</v>
      </c>
      <c r="H71" s="16">
        <v>89.5192307692308</v>
      </c>
      <c r="I71" s="16">
        <v>45.0</v>
      </c>
      <c r="J71" s="16">
        <v>85.0</v>
      </c>
      <c r="K71" s="16">
        <v>67.2332</v>
      </c>
      <c r="L71" s="16">
        <v>65.0</v>
      </c>
      <c r="M71" s="16">
        <v>140.0</v>
      </c>
      <c r="N71" s="16">
        <v>83.1332</v>
      </c>
      <c r="O71" s="16">
        <v>90.0</v>
      </c>
      <c r="P71" s="16">
        <v>145.0</v>
      </c>
      <c r="Q71" s="16">
        <v>122.5</v>
      </c>
      <c r="R71" s="16"/>
      <c r="S71" s="16"/>
      <c r="T71" s="16"/>
      <c r="U71" s="16"/>
      <c r="V71" s="16"/>
      <c r="W71" s="16"/>
      <c r="X71" s="16"/>
      <c r="Y71" s="16"/>
      <c r="Z71" s="16"/>
      <c r="AA71" s="16">
        <v>180.0</v>
      </c>
      <c r="AB71" s="16">
        <v>190.0</v>
      </c>
      <c r="AC71" s="16">
        <v>185.0</v>
      </c>
      <c r="AD71" s="16"/>
      <c r="AE71" s="16"/>
      <c r="AF71" s="16"/>
      <c r="AG71" s="16"/>
      <c r="AH71" s="16"/>
      <c r="AI71" s="16"/>
      <c r="AJ71" s="16">
        <v>130.0</v>
      </c>
      <c r="AK71" s="16">
        <v>200.0</v>
      </c>
      <c r="AL71" s="17">
        <v>178.0</v>
      </c>
      <c r="AM71" s="18">
        <f t="shared" si="1"/>
        <v>45</v>
      </c>
      <c r="AN71" s="18">
        <f t="shared" si="2"/>
        <v>200</v>
      </c>
      <c r="AO71" s="18">
        <f t="shared" si="3"/>
        <v>119.1086615</v>
      </c>
    </row>
    <row r="72" ht="15.75" customHeight="1">
      <c r="A72" s="14" t="s">
        <v>89</v>
      </c>
      <c r="B72" s="15" t="s">
        <v>19</v>
      </c>
      <c r="C72" s="16">
        <v>90.0</v>
      </c>
      <c r="D72" s="16">
        <v>140.0</v>
      </c>
      <c r="E72" s="16">
        <v>108.9772727272727</v>
      </c>
      <c r="F72" s="16">
        <v>120.0</v>
      </c>
      <c r="G72" s="16">
        <v>200.0</v>
      </c>
      <c r="H72" s="16">
        <v>149.6052631578947</v>
      </c>
      <c r="I72" s="16">
        <v>60.0</v>
      </c>
      <c r="J72" s="16">
        <v>75.0</v>
      </c>
      <c r="K72" s="16">
        <v>67.5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>
        <v>300.0</v>
      </c>
      <c r="Y72" s="16">
        <v>325.0</v>
      </c>
      <c r="Z72" s="16">
        <v>312.5</v>
      </c>
      <c r="AA72" s="16">
        <v>120.0</v>
      </c>
      <c r="AB72" s="16">
        <v>325.0</v>
      </c>
      <c r="AC72" s="16">
        <v>198.4095454545455</v>
      </c>
      <c r="AD72" s="16">
        <v>110.0</v>
      </c>
      <c r="AE72" s="16">
        <v>150.0</v>
      </c>
      <c r="AF72" s="16">
        <v>130.3040909090909</v>
      </c>
      <c r="AG72" s="16">
        <v>80.0</v>
      </c>
      <c r="AH72" s="16">
        <v>130.0</v>
      </c>
      <c r="AI72" s="16">
        <v>104.6828571428571</v>
      </c>
      <c r="AJ72" s="16">
        <v>80.0</v>
      </c>
      <c r="AK72" s="16">
        <v>120.0</v>
      </c>
      <c r="AL72" s="17">
        <v>95.2173913043478</v>
      </c>
      <c r="AM72" s="18">
        <f t="shared" si="1"/>
        <v>60</v>
      </c>
      <c r="AN72" s="18">
        <f t="shared" si="2"/>
        <v>325</v>
      </c>
      <c r="AO72" s="18">
        <f t="shared" si="3"/>
        <v>145.8995526</v>
      </c>
    </row>
    <row r="73" ht="15.75" customHeight="1">
      <c r="A73" s="14" t="s">
        <v>90</v>
      </c>
      <c r="B73" s="15" t="s">
        <v>19</v>
      </c>
      <c r="C73" s="16">
        <v>90.0</v>
      </c>
      <c r="D73" s="16">
        <v>115.0</v>
      </c>
      <c r="E73" s="16">
        <v>99.7727272727273</v>
      </c>
      <c r="F73" s="16">
        <v>90.0</v>
      </c>
      <c r="G73" s="16">
        <v>120.0</v>
      </c>
      <c r="H73" s="16">
        <v>106.75</v>
      </c>
      <c r="I73" s="16"/>
      <c r="J73" s="16"/>
      <c r="K73" s="16"/>
      <c r="L73" s="16"/>
      <c r="M73" s="16"/>
      <c r="N73" s="16"/>
      <c r="O73" s="16"/>
      <c r="P73" s="16"/>
      <c r="Q73" s="16"/>
      <c r="R73" s="16">
        <v>30.0</v>
      </c>
      <c r="S73" s="16">
        <v>35.0</v>
      </c>
      <c r="T73" s="16">
        <v>32.5</v>
      </c>
      <c r="U73" s="16">
        <v>28.0</v>
      </c>
      <c r="V73" s="16">
        <v>55.0</v>
      </c>
      <c r="W73" s="16">
        <v>38.7225</v>
      </c>
      <c r="X73" s="16">
        <v>50.0</v>
      </c>
      <c r="Y73" s="16">
        <v>60.0</v>
      </c>
      <c r="Z73" s="16">
        <v>54.61125</v>
      </c>
      <c r="AA73" s="16">
        <v>50.0</v>
      </c>
      <c r="AB73" s="16">
        <v>70.0</v>
      </c>
      <c r="AC73" s="16">
        <v>58.0190909090909</v>
      </c>
      <c r="AD73" s="16">
        <v>55.0</v>
      </c>
      <c r="AE73" s="16">
        <v>80.0</v>
      </c>
      <c r="AF73" s="16">
        <v>69.2427272727273</v>
      </c>
      <c r="AG73" s="16">
        <v>50.0</v>
      </c>
      <c r="AH73" s="16">
        <v>75.0</v>
      </c>
      <c r="AI73" s="16">
        <v>62.1028571428571</v>
      </c>
      <c r="AJ73" s="16">
        <v>50.0</v>
      </c>
      <c r="AK73" s="16">
        <v>80.0</v>
      </c>
      <c r="AL73" s="17">
        <v>59.4560869565217</v>
      </c>
      <c r="AM73" s="18">
        <f t="shared" si="1"/>
        <v>28</v>
      </c>
      <c r="AN73" s="18">
        <f t="shared" si="2"/>
        <v>120</v>
      </c>
      <c r="AO73" s="18">
        <f t="shared" si="3"/>
        <v>64.57524884</v>
      </c>
    </row>
    <row r="74" ht="15.75" customHeight="1">
      <c r="A74" s="14" t="s">
        <v>91</v>
      </c>
      <c r="B74" s="15" t="s">
        <v>19</v>
      </c>
      <c r="C74" s="16">
        <v>14.0</v>
      </c>
      <c r="D74" s="16">
        <v>22.0</v>
      </c>
      <c r="E74" s="16">
        <v>17.7931818181818</v>
      </c>
      <c r="F74" s="16">
        <v>13.0</v>
      </c>
      <c r="G74" s="16">
        <v>25.0</v>
      </c>
      <c r="H74" s="16">
        <v>18.1673076923077</v>
      </c>
      <c r="I74" s="16">
        <v>20.0</v>
      </c>
      <c r="J74" s="16">
        <v>60.0</v>
      </c>
      <c r="K74" s="16">
        <v>41.6404545454545</v>
      </c>
      <c r="L74" s="16">
        <v>50.0</v>
      </c>
      <c r="M74" s="16">
        <v>60.0</v>
      </c>
      <c r="N74" s="16">
        <v>56.9791666666667</v>
      </c>
      <c r="O74" s="16">
        <v>35.0</v>
      </c>
      <c r="P74" s="16">
        <v>60.0</v>
      </c>
      <c r="Q74" s="16">
        <v>45.9</v>
      </c>
      <c r="R74" s="16">
        <v>35.0</v>
      </c>
      <c r="S74" s="16">
        <v>60.0</v>
      </c>
      <c r="T74" s="16">
        <v>45.36</v>
      </c>
      <c r="U74" s="16">
        <v>35.0</v>
      </c>
      <c r="V74" s="16">
        <v>50.0</v>
      </c>
      <c r="W74" s="16">
        <v>41.8035294117647</v>
      </c>
      <c r="X74" s="16">
        <v>35.0</v>
      </c>
      <c r="Y74" s="16">
        <v>60.0</v>
      </c>
      <c r="Z74" s="16">
        <v>39.9357142857143</v>
      </c>
      <c r="AA74" s="16">
        <v>35.0</v>
      </c>
      <c r="AB74" s="16">
        <v>45.0</v>
      </c>
      <c r="AC74" s="16">
        <v>39.575</v>
      </c>
      <c r="AD74" s="16">
        <v>38.0</v>
      </c>
      <c r="AE74" s="16">
        <v>55.0</v>
      </c>
      <c r="AF74" s="16">
        <v>43.5063636363636</v>
      </c>
      <c r="AG74" s="16">
        <v>35.0</v>
      </c>
      <c r="AH74" s="16">
        <v>50.0</v>
      </c>
      <c r="AI74" s="16">
        <v>44.1257142857143</v>
      </c>
      <c r="AJ74" s="16">
        <v>20.0</v>
      </c>
      <c r="AK74" s="16">
        <v>35.0</v>
      </c>
      <c r="AL74" s="17">
        <v>28.0678260869565</v>
      </c>
      <c r="AM74" s="18">
        <f t="shared" si="1"/>
        <v>13</v>
      </c>
      <c r="AN74" s="18">
        <f t="shared" si="2"/>
        <v>60</v>
      </c>
      <c r="AO74" s="18">
        <f t="shared" si="3"/>
        <v>38.5711882</v>
      </c>
    </row>
    <row r="75" ht="15.75" customHeight="1">
      <c r="A75" s="14" t="s">
        <v>92</v>
      </c>
      <c r="B75" s="15" t="s">
        <v>19</v>
      </c>
      <c r="C75" s="16">
        <v>60.0</v>
      </c>
      <c r="D75" s="16">
        <v>90.0</v>
      </c>
      <c r="E75" s="16">
        <v>73.0681818181818</v>
      </c>
      <c r="F75" s="16">
        <v>70.0</v>
      </c>
      <c r="G75" s="16">
        <v>120.0</v>
      </c>
      <c r="H75" s="16">
        <v>90.3846153846154</v>
      </c>
      <c r="I75" s="16">
        <v>80.0</v>
      </c>
      <c r="J75" s="16">
        <v>100.0</v>
      </c>
      <c r="K75" s="16">
        <v>93.75</v>
      </c>
      <c r="L75" s="16">
        <v>75.0</v>
      </c>
      <c r="M75" s="16">
        <v>100.0</v>
      </c>
      <c r="N75" s="16">
        <v>86.4</v>
      </c>
      <c r="O75" s="16">
        <v>70.0</v>
      </c>
      <c r="P75" s="16">
        <v>90.0</v>
      </c>
      <c r="Q75" s="16">
        <v>82.4</v>
      </c>
      <c r="R75" s="16">
        <v>60.0</v>
      </c>
      <c r="S75" s="16">
        <v>80.0</v>
      </c>
      <c r="T75" s="16">
        <v>75.5</v>
      </c>
      <c r="U75" s="16">
        <v>40.0</v>
      </c>
      <c r="V75" s="16">
        <v>90.0</v>
      </c>
      <c r="W75" s="16">
        <v>73.9395454545455</v>
      </c>
      <c r="X75" s="16">
        <v>40.0</v>
      </c>
      <c r="Y75" s="16">
        <v>110.0</v>
      </c>
      <c r="Z75" s="16">
        <v>75.9375</v>
      </c>
      <c r="AA75" s="16">
        <v>80.0</v>
      </c>
      <c r="AB75" s="16">
        <v>110.0</v>
      </c>
      <c r="AC75" s="16">
        <v>92.4622727272727</v>
      </c>
      <c r="AD75" s="16">
        <v>80.0</v>
      </c>
      <c r="AE75" s="16">
        <v>90.0</v>
      </c>
      <c r="AF75" s="16">
        <v>85.6072727272727</v>
      </c>
      <c r="AG75" s="16">
        <v>65.0</v>
      </c>
      <c r="AH75" s="16">
        <v>90.0</v>
      </c>
      <c r="AI75" s="16">
        <v>83.2152380952381</v>
      </c>
      <c r="AJ75" s="16">
        <v>70.0</v>
      </c>
      <c r="AK75" s="16">
        <v>90.0</v>
      </c>
      <c r="AL75" s="17">
        <v>76.2682608695652</v>
      </c>
      <c r="AM75" s="18">
        <f t="shared" si="1"/>
        <v>40</v>
      </c>
      <c r="AN75" s="18">
        <f t="shared" si="2"/>
        <v>120</v>
      </c>
      <c r="AO75" s="18">
        <f t="shared" si="3"/>
        <v>82.41107392</v>
      </c>
    </row>
    <row r="76" ht="15.75" customHeight="1">
      <c r="A76" s="14" t="s">
        <v>93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40.0</v>
      </c>
      <c r="V76" s="16">
        <v>45.0</v>
      </c>
      <c r="W76" s="16">
        <v>42.5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>
        <v>220.0</v>
      </c>
      <c r="AK76" s="16">
        <v>220.0</v>
      </c>
      <c r="AL76" s="17">
        <v>220.0</v>
      </c>
      <c r="AM76" s="18">
        <f t="shared" si="1"/>
        <v>40</v>
      </c>
      <c r="AN76" s="18">
        <f t="shared" si="2"/>
        <v>220</v>
      </c>
      <c r="AO76" s="18">
        <f t="shared" si="3"/>
        <v>131.25</v>
      </c>
    </row>
    <row r="77" ht="15.75" customHeight="1">
      <c r="A77" s="14" t="s">
        <v>94</v>
      </c>
      <c r="B77" s="15" t="s">
        <v>95</v>
      </c>
      <c r="C77" s="16">
        <v>65.0</v>
      </c>
      <c r="D77" s="16">
        <v>95.0</v>
      </c>
      <c r="E77" s="16">
        <v>82.0454545454545</v>
      </c>
      <c r="F77" s="16">
        <v>35.0</v>
      </c>
      <c r="G77" s="16">
        <v>100.0</v>
      </c>
      <c r="H77" s="16">
        <v>73.1788888888889</v>
      </c>
      <c r="I77" s="16">
        <v>55.0</v>
      </c>
      <c r="J77" s="16">
        <v>150.0</v>
      </c>
      <c r="K77" s="16">
        <v>76.4</v>
      </c>
      <c r="L77" s="16">
        <v>40.0</v>
      </c>
      <c r="M77" s="16">
        <v>90.0</v>
      </c>
      <c r="N77" s="16">
        <v>66.0</v>
      </c>
      <c r="O77" s="16">
        <v>60.0</v>
      </c>
      <c r="P77" s="16">
        <v>80.0</v>
      </c>
      <c r="Q77" s="16">
        <v>71.8</v>
      </c>
      <c r="R77" s="16">
        <v>50.0</v>
      </c>
      <c r="S77" s="16">
        <v>80.0</v>
      </c>
      <c r="T77" s="16">
        <v>65.4166666666667</v>
      </c>
      <c r="U77" s="16">
        <v>40.0</v>
      </c>
      <c r="V77" s="16">
        <v>80.0</v>
      </c>
      <c r="W77" s="16">
        <v>70.3947368421053</v>
      </c>
      <c r="X77" s="16">
        <v>70.0</v>
      </c>
      <c r="Y77" s="16">
        <v>90.0</v>
      </c>
      <c r="Z77" s="16">
        <v>75.4347826086957</v>
      </c>
      <c r="AA77" s="16">
        <v>60.0</v>
      </c>
      <c r="AB77" s="16">
        <v>80.0</v>
      </c>
      <c r="AC77" s="16">
        <v>74.5454545454545</v>
      </c>
      <c r="AD77" s="16">
        <v>70.0</v>
      </c>
      <c r="AE77" s="16">
        <v>90.0</v>
      </c>
      <c r="AF77" s="16">
        <v>76.4395454545455</v>
      </c>
      <c r="AG77" s="16">
        <v>60.0</v>
      </c>
      <c r="AH77" s="16">
        <v>90.0</v>
      </c>
      <c r="AI77" s="16">
        <v>75.7505</v>
      </c>
      <c r="AJ77" s="16">
        <v>60.0</v>
      </c>
      <c r="AK77" s="16">
        <v>90.0</v>
      </c>
      <c r="AL77" s="17">
        <v>75.6818181818182</v>
      </c>
      <c r="AM77" s="18">
        <f t="shared" si="1"/>
        <v>35</v>
      </c>
      <c r="AN77" s="18">
        <f t="shared" si="2"/>
        <v>150</v>
      </c>
      <c r="AO77" s="18">
        <f t="shared" si="3"/>
        <v>73.59065398</v>
      </c>
    </row>
    <row r="78" ht="15.75" customHeight="1">
      <c r="A78" s="14" t="s">
        <v>96</v>
      </c>
      <c r="B78" s="15" t="s">
        <v>19</v>
      </c>
      <c r="C78" s="16">
        <v>14.0</v>
      </c>
      <c r="D78" s="16">
        <v>40.0</v>
      </c>
      <c r="E78" s="16">
        <v>26.5090909090909</v>
      </c>
      <c r="F78" s="16">
        <v>18.0</v>
      </c>
      <c r="G78" s="16">
        <v>60.0</v>
      </c>
      <c r="H78" s="16">
        <v>37.4769230769231</v>
      </c>
      <c r="I78" s="16">
        <v>30.0</v>
      </c>
      <c r="J78" s="16">
        <v>65.0</v>
      </c>
      <c r="K78" s="16">
        <v>48.846</v>
      </c>
      <c r="L78" s="16">
        <v>26.0</v>
      </c>
      <c r="M78" s="16">
        <v>55.0</v>
      </c>
      <c r="N78" s="16">
        <v>35.344</v>
      </c>
      <c r="O78" s="16">
        <v>18.0</v>
      </c>
      <c r="P78" s="16">
        <v>40.0</v>
      </c>
      <c r="Q78" s="16">
        <v>26.038</v>
      </c>
      <c r="R78" s="16">
        <v>28.0</v>
      </c>
      <c r="S78" s="16">
        <v>50.0</v>
      </c>
      <c r="T78" s="16">
        <v>38.8804347826087</v>
      </c>
      <c r="U78" s="16">
        <v>35.0</v>
      </c>
      <c r="V78" s="16">
        <v>80.0</v>
      </c>
      <c r="W78" s="16">
        <v>55.4169565217391</v>
      </c>
      <c r="X78" s="16">
        <v>28.0</v>
      </c>
      <c r="Y78" s="16">
        <v>55.0</v>
      </c>
      <c r="Z78" s="16">
        <v>41.5716666666667</v>
      </c>
      <c r="AA78" s="16">
        <v>24.0</v>
      </c>
      <c r="AB78" s="16">
        <v>45.0</v>
      </c>
      <c r="AC78" s="16">
        <v>35.2604545454545</v>
      </c>
      <c r="AD78" s="16">
        <v>30.0</v>
      </c>
      <c r="AE78" s="16">
        <v>60.0</v>
      </c>
      <c r="AF78" s="16">
        <v>42.4068181818182</v>
      </c>
      <c r="AG78" s="16">
        <v>30.0</v>
      </c>
      <c r="AH78" s="16">
        <v>65.0</v>
      </c>
      <c r="AI78" s="16">
        <v>40.6580952380952</v>
      </c>
      <c r="AJ78" s="16">
        <v>18.0</v>
      </c>
      <c r="AK78" s="16">
        <v>50.0</v>
      </c>
      <c r="AL78" s="17">
        <v>34.7134782608696</v>
      </c>
      <c r="AM78" s="18">
        <f t="shared" si="1"/>
        <v>14</v>
      </c>
      <c r="AN78" s="18">
        <f t="shared" si="2"/>
        <v>80</v>
      </c>
      <c r="AO78" s="18">
        <f t="shared" si="3"/>
        <v>38.59349318</v>
      </c>
    </row>
    <row r="79" ht="15.75" customHeight="1">
      <c r="A79" s="14" t="s">
        <v>97</v>
      </c>
      <c r="B79" s="15" t="s">
        <v>19</v>
      </c>
      <c r="C79" s="16">
        <v>110.0</v>
      </c>
      <c r="D79" s="16">
        <v>130.0</v>
      </c>
      <c r="E79" s="16">
        <v>122.2727272727273</v>
      </c>
      <c r="F79" s="16">
        <v>120.0</v>
      </c>
      <c r="G79" s="16">
        <v>140.0</v>
      </c>
      <c r="H79" s="16">
        <v>133.7962962962963</v>
      </c>
      <c r="I79" s="16">
        <v>130.0</v>
      </c>
      <c r="J79" s="16">
        <v>150.0</v>
      </c>
      <c r="K79" s="16">
        <v>140.4761904761905</v>
      </c>
      <c r="L79" s="16">
        <v>140.0</v>
      </c>
      <c r="M79" s="16">
        <v>160.0</v>
      </c>
      <c r="N79" s="16">
        <v>147.5</v>
      </c>
      <c r="O79" s="16">
        <v>25.0</v>
      </c>
      <c r="P79" s="16">
        <v>150.0</v>
      </c>
      <c r="Q79" s="16">
        <v>112.61</v>
      </c>
      <c r="R79" s="16">
        <v>130.0</v>
      </c>
      <c r="S79" s="16">
        <v>150.0</v>
      </c>
      <c r="T79" s="16">
        <v>143.3</v>
      </c>
      <c r="U79" s="16">
        <v>130.0</v>
      </c>
      <c r="V79" s="16">
        <v>150.0</v>
      </c>
      <c r="W79" s="16">
        <v>142.8947368421053</v>
      </c>
      <c r="X79" s="16">
        <v>110.0</v>
      </c>
      <c r="Y79" s="16">
        <v>150.0</v>
      </c>
      <c r="Z79" s="16">
        <v>133.2608695652174</v>
      </c>
      <c r="AA79" s="16">
        <v>120.0</v>
      </c>
      <c r="AB79" s="16">
        <v>140.0</v>
      </c>
      <c r="AC79" s="16">
        <v>125.4761904761905</v>
      </c>
      <c r="AD79" s="16">
        <v>120.0</v>
      </c>
      <c r="AE79" s="16">
        <v>130.0</v>
      </c>
      <c r="AF79" s="16">
        <v>125.0</v>
      </c>
      <c r="AG79" s="16"/>
      <c r="AH79" s="16"/>
      <c r="AI79" s="16"/>
      <c r="AJ79" s="16">
        <v>130.0</v>
      </c>
      <c r="AK79" s="16">
        <v>140.0</v>
      </c>
      <c r="AL79" s="17">
        <v>135.0</v>
      </c>
      <c r="AM79" s="18">
        <f t="shared" si="1"/>
        <v>25</v>
      </c>
      <c r="AN79" s="18">
        <f t="shared" si="2"/>
        <v>160</v>
      </c>
      <c r="AO79" s="18">
        <f t="shared" si="3"/>
        <v>132.8715464</v>
      </c>
    </row>
    <row r="80" ht="15.75" customHeight="1">
      <c r="A80" s="14" t="s">
        <v>98</v>
      </c>
      <c r="B80" s="15" t="s">
        <v>19</v>
      </c>
      <c r="C80" s="16">
        <v>18.0</v>
      </c>
      <c r="D80" s="16">
        <v>25.0</v>
      </c>
      <c r="E80" s="16">
        <v>22.2045454545455</v>
      </c>
      <c r="F80" s="16">
        <v>20.0</v>
      </c>
      <c r="G80" s="16">
        <v>60.0</v>
      </c>
      <c r="H80" s="16">
        <v>42.3668</v>
      </c>
      <c r="I80" s="16">
        <v>45.0</v>
      </c>
      <c r="J80" s="16">
        <v>60.0</v>
      </c>
      <c r="K80" s="16">
        <v>55.7291666666667</v>
      </c>
      <c r="L80" s="16">
        <v>50.0</v>
      </c>
      <c r="M80" s="16">
        <v>60.0</v>
      </c>
      <c r="N80" s="16">
        <v>56.9</v>
      </c>
      <c r="O80" s="16">
        <v>40.0</v>
      </c>
      <c r="P80" s="16">
        <v>65.0</v>
      </c>
      <c r="Q80" s="16">
        <v>55.7291666666667</v>
      </c>
      <c r="R80" s="16">
        <v>45.0</v>
      </c>
      <c r="S80" s="16">
        <v>70.0</v>
      </c>
      <c r="T80" s="16">
        <v>55.9332</v>
      </c>
      <c r="U80" s="16">
        <v>40.0</v>
      </c>
      <c r="V80" s="16">
        <v>60.0</v>
      </c>
      <c r="W80" s="16">
        <v>50.9081818181818</v>
      </c>
      <c r="X80" s="16">
        <v>45.0</v>
      </c>
      <c r="Y80" s="16">
        <v>60.0</v>
      </c>
      <c r="Z80" s="16">
        <v>54.1660869565217</v>
      </c>
      <c r="AA80" s="16">
        <v>30.0</v>
      </c>
      <c r="AB80" s="16">
        <v>60.0</v>
      </c>
      <c r="AC80" s="16">
        <v>44.0336363636364</v>
      </c>
      <c r="AD80" s="16">
        <v>40.0</v>
      </c>
      <c r="AE80" s="16">
        <v>50.0</v>
      </c>
      <c r="AF80" s="16">
        <v>45.1985714285714</v>
      </c>
      <c r="AG80" s="16">
        <v>30.0</v>
      </c>
      <c r="AH80" s="16">
        <v>50.0</v>
      </c>
      <c r="AI80" s="16">
        <v>42.38</v>
      </c>
      <c r="AJ80" s="16">
        <v>30.0</v>
      </c>
      <c r="AK80" s="16">
        <v>45.0</v>
      </c>
      <c r="AL80" s="17">
        <v>36.0504347826087</v>
      </c>
      <c r="AM80" s="18">
        <f t="shared" si="1"/>
        <v>18</v>
      </c>
      <c r="AN80" s="18">
        <f t="shared" si="2"/>
        <v>70</v>
      </c>
      <c r="AO80" s="18">
        <f t="shared" si="3"/>
        <v>46.79998251</v>
      </c>
    </row>
    <row r="81" ht="15.75" customHeight="1">
      <c r="A81" s="14" t="s">
        <v>99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>
        <v>28.0</v>
      </c>
      <c r="P81" s="16">
        <v>40.0</v>
      </c>
      <c r="Q81" s="16">
        <v>32.1428571428571</v>
      </c>
      <c r="R81" s="16">
        <v>22.0</v>
      </c>
      <c r="S81" s="16">
        <v>40.0</v>
      </c>
      <c r="T81" s="16">
        <v>33.7747826086957</v>
      </c>
      <c r="U81" s="16">
        <v>30.0</v>
      </c>
      <c r="V81" s="16">
        <v>80.0</v>
      </c>
      <c r="W81" s="16">
        <v>45.9716666666667</v>
      </c>
      <c r="X81" s="16"/>
      <c r="Y81" s="16"/>
      <c r="Z81" s="16"/>
      <c r="AA81" s="16">
        <v>35.0</v>
      </c>
      <c r="AB81" s="16">
        <v>50.0</v>
      </c>
      <c r="AC81" s="16">
        <v>41.895</v>
      </c>
      <c r="AD81" s="16">
        <v>30.0</v>
      </c>
      <c r="AE81" s="16">
        <v>40.0</v>
      </c>
      <c r="AF81" s="16">
        <v>33.1933333333333</v>
      </c>
      <c r="AG81" s="16"/>
      <c r="AH81" s="16"/>
      <c r="AI81" s="16"/>
      <c r="AJ81" s="16"/>
      <c r="AK81" s="16"/>
      <c r="AL81" s="17"/>
      <c r="AM81" s="18">
        <f t="shared" si="1"/>
        <v>22</v>
      </c>
      <c r="AN81" s="18">
        <f t="shared" si="2"/>
        <v>80</v>
      </c>
      <c r="AO81" s="18">
        <f t="shared" si="3"/>
        <v>37.39552795</v>
      </c>
    </row>
    <row r="82" ht="15.75" customHeight="1">
      <c r="A82" s="14" t="s">
        <v>100</v>
      </c>
      <c r="B82" s="15" t="s">
        <v>19</v>
      </c>
      <c r="C82" s="16"/>
      <c r="D82" s="16"/>
      <c r="E82" s="16"/>
      <c r="F82" s="16">
        <v>50.0</v>
      </c>
      <c r="G82" s="16">
        <v>150.0</v>
      </c>
      <c r="H82" s="16">
        <v>120.0</v>
      </c>
      <c r="I82" s="16">
        <v>55.0</v>
      </c>
      <c r="J82" s="16">
        <v>60.0</v>
      </c>
      <c r="K82" s="16">
        <v>57.5</v>
      </c>
      <c r="L82" s="16">
        <v>16.0</v>
      </c>
      <c r="M82" s="16">
        <v>25.0</v>
      </c>
      <c r="N82" s="16">
        <v>19.8838461538462</v>
      </c>
      <c r="O82" s="16">
        <v>16.0</v>
      </c>
      <c r="P82" s="16">
        <v>28.0</v>
      </c>
      <c r="Q82" s="16">
        <v>19.7225</v>
      </c>
      <c r="R82" s="16">
        <v>16.0</v>
      </c>
      <c r="S82" s="16">
        <v>25.0</v>
      </c>
      <c r="T82" s="16">
        <v>19.42</v>
      </c>
      <c r="U82" s="16">
        <v>18.0</v>
      </c>
      <c r="V82" s="16">
        <v>35.0</v>
      </c>
      <c r="W82" s="16">
        <v>25.4618181818182</v>
      </c>
      <c r="X82" s="16">
        <v>25.0</v>
      </c>
      <c r="Y82" s="16">
        <v>32.0</v>
      </c>
      <c r="Z82" s="16">
        <v>28.9441666666667</v>
      </c>
      <c r="AA82" s="16">
        <v>28.0</v>
      </c>
      <c r="AB82" s="16">
        <v>42.0</v>
      </c>
      <c r="AC82" s="16">
        <v>31.057</v>
      </c>
      <c r="AD82" s="16">
        <v>38.0</v>
      </c>
      <c r="AE82" s="16">
        <v>70.0</v>
      </c>
      <c r="AF82" s="16">
        <v>57.9354545454545</v>
      </c>
      <c r="AG82" s="16">
        <v>60.0</v>
      </c>
      <c r="AH82" s="16">
        <v>130.0</v>
      </c>
      <c r="AI82" s="16">
        <v>105.0595238095238</v>
      </c>
      <c r="AJ82" s="16">
        <v>120.0</v>
      </c>
      <c r="AK82" s="16">
        <v>150.0</v>
      </c>
      <c r="AL82" s="17">
        <v>133.8888888888889</v>
      </c>
      <c r="AM82" s="18">
        <f t="shared" si="1"/>
        <v>16</v>
      </c>
      <c r="AN82" s="18">
        <f t="shared" si="2"/>
        <v>150</v>
      </c>
      <c r="AO82" s="18">
        <f t="shared" si="3"/>
        <v>56.26119984</v>
      </c>
    </row>
    <row r="83" ht="15.75" customHeight="1">
      <c r="A83" s="14" t="s">
        <v>101</v>
      </c>
      <c r="B83" s="15" t="s">
        <v>19</v>
      </c>
      <c r="C83" s="16"/>
      <c r="D83" s="16"/>
      <c r="E83" s="16"/>
      <c r="F83" s="16">
        <v>60.0</v>
      </c>
      <c r="G83" s="16">
        <v>160.0</v>
      </c>
      <c r="H83" s="16">
        <v>125.0</v>
      </c>
      <c r="I83" s="16">
        <v>50.0</v>
      </c>
      <c r="J83" s="16">
        <v>150.0</v>
      </c>
      <c r="K83" s="16">
        <v>89.047619047619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>
        <v>28.0</v>
      </c>
      <c r="AB83" s="16">
        <v>30.0</v>
      </c>
      <c r="AC83" s="16">
        <v>29.33</v>
      </c>
      <c r="AD83" s="16"/>
      <c r="AE83" s="16"/>
      <c r="AF83" s="16"/>
      <c r="AG83" s="16"/>
      <c r="AH83" s="16"/>
      <c r="AI83" s="16"/>
      <c r="AJ83" s="16"/>
      <c r="AK83" s="16"/>
      <c r="AL83" s="17"/>
      <c r="AM83" s="18">
        <f t="shared" si="1"/>
        <v>28</v>
      </c>
      <c r="AN83" s="18">
        <f t="shared" si="2"/>
        <v>160</v>
      </c>
      <c r="AO83" s="18">
        <f t="shared" si="3"/>
        <v>81.12587302</v>
      </c>
    </row>
    <row r="84" ht="15.75" customHeight="1">
      <c r="A84" s="14" t="s">
        <v>102</v>
      </c>
      <c r="B84" s="15" t="s">
        <v>19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>
        <v>50.0</v>
      </c>
      <c r="Y84" s="16">
        <v>60.0</v>
      </c>
      <c r="Z84" s="16">
        <v>55.0</v>
      </c>
      <c r="AA84" s="16"/>
      <c r="AB84" s="16"/>
      <c r="AC84" s="16"/>
      <c r="AD84" s="16"/>
      <c r="AE84" s="16"/>
      <c r="AF84" s="16"/>
      <c r="AG84" s="16">
        <v>250.0</v>
      </c>
      <c r="AH84" s="16">
        <v>300.0</v>
      </c>
      <c r="AI84" s="16">
        <v>275.0</v>
      </c>
      <c r="AJ84" s="16"/>
      <c r="AK84" s="16"/>
      <c r="AL84" s="17"/>
      <c r="AM84" s="18">
        <f t="shared" si="1"/>
        <v>50</v>
      </c>
      <c r="AN84" s="18">
        <f t="shared" si="2"/>
        <v>300</v>
      </c>
      <c r="AO84" s="18">
        <f t="shared" si="3"/>
        <v>165</v>
      </c>
    </row>
    <row r="85" ht="15.75" customHeight="1">
      <c r="A85" s="14" t="s">
        <v>103</v>
      </c>
      <c r="B85" s="15" t="s">
        <v>95</v>
      </c>
      <c r="C85" s="16">
        <v>45.0</v>
      </c>
      <c r="D85" s="16">
        <v>90.0</v>
      </c>
      <c r="E85" s="16">
        <v>67.6136363636364</v>
      </c>
      <c r="F85" s="16">
        <v>65.0</v>
      </c>
      <c r="G85" s="16">
        <v>100.0</v>
      </c>
      <c r="H85" s="16">
        <v>77.5</v>
      </c>
      <c r="I85" s="16">
        <v>70.0</v>
      </c>
      <c r="J85" s="16">
        <v>90.0</v>
      </c>
      <c r="K85" s="16">
        <v>77.25</v>
      </c>
      <c r="L85" s="16">
        <v>70.0</v>
      </c>
      <c r="M85" s="16">
        <v>85.0</v>
      </c>
      <c r="N85" s="16">
        <v>74.5833333333333</v>
      </c>
      <c r="O85" s="16">
        <v>60.0</v>
      </c>
      <c r="P85" s="16">
        <v>80.0</v>
      </c>
      <c r="Q85" s="16">
        <v>70.9</v>
      </c>
      <c r="R85" s="16">
        <v>60.0</v>
      </c>
      <c r="S85" s="16">
        <v>145.0</v>
      </c>
      <c r="T85" s="16">
        <v>71.5</v>
      </c>
      <c r="U85" s="16">
        <v>60.0</v>
      </c>
      <c r="V85" s="16">
        <v>70.0</v>
      </c>
      <c r="W85" s="16">
        <v>65.0</v>
      </c>
      <c r="X85" s="16">
        <v>50.0</v>
      </c>
      <c r="Y85" s="16">
        <v>70.0</v>
      </c>
      <c r="Z85" s="16">
        <v>59.5454545454545</v>
      </c>
      <c r="AA85" s="16">
        <v>50.0</v>
      </c>
      <c r="AB85" s="16">
        <v>60.0</v>
      </c>
      <c r="AC85" s="16">
        <v>55.1190476190476</v>
      </c>
      <c r="AD85" s="16">
        <v>50.0</v>
      </c>
      <c r="AE85" s="16">
        <v>70.0</v>
      </c>
      <c r="AF85" s="16">
        <v>56.5922727272727</v>
      </c>
      <c r="AG85" s="16">
        <v>30.0</v>
      </c>
      <c r="AH85" s="16">
        <v>60.0</v>
      </c>
      <c r="AI85" s="16">
        <v>45.317619047619</v>
      </c>
      <c r="AJ85" s="16">
        <v>30.0</v>
      </c>
      <c r="AK85" s="16">
        <v>55.0</v>
      </c>
      <c r="AL85" s="17">
        <v>39.0226086956522</v>
      </c>
      <c r="AM85" s="18">
        <f t="shared" si="1"/>
        <v>30</v>
      </c>
      <c r="AN85" s="18">
        <f t="shared" si="2"/>
        <v>145</v>
      </c>
      <c r="AO85" s="18">
        <f t="shared" si="3"/>
        <v>63.32866436</v>
      </c>
    </row>
    <row r="86" ht="15.75" customHeight="1">
      <c r="A86" s="14" t="s">
        <v>104</v>
      </c>
      <c r="B86" s="15" t="s">
        <v>19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>
        <v>50.0</v>
      </c>
      <c r="AB86" s="16">
        <v>80.0</v>
      </c>
      <c r="AC86" s="16">
        <v>60.0</v>
      </c>
      <c r="AD86" s="16">
        <v>45.0</v>
      </c>
      <c r="AE86" s="16">
        <v>70.0</v>
      </c>
      <c r="AF86" s="16">
        <v>55.1580952380952</v>
      </c>
      <c r="AG86" s="16">
        <v>50.0</v>
      </c>
      <c r="AH86" s="16">
        <v>70.0</v>
      </c>
      <c r="AI86" s="16">
        <v>59.0866666666667</v>
      </c>
      <c r="AJ86" s="16">
        <v>60.0</v>
      </c>
      <c r="AK86" s="16">
        <v>80.0</v>
      </c>
      <c r="AL86" s="17">
        <v>69.6153846153846</v>
      </c>
      <c r="AM86" s="18">
        <f t="shared" si="1"/>
        <v>45</v>
      </c>
      <c r="AN86" s="18">
        <f t="shared" si="2"/>
        <v>80</v>
      </c>
      <c r="AO86" s="18">
        <f t="shared" si="3"/>
        <v>60.96503663</v>
      </c>
    </row>
    <row r="87" ht="15.75" customHeight="1">
      <c r="A87" s="14" t="s">
        <v>105</v>
      </c>
      <c r="B87" s="15" t="s">
        <v>19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>
        <v>150.0</v>
      </c>
      <c r="AE87" s="16">
        <v>300.0</v>
      </c>
      <c r="AF87" s="16">
        <v>253.5714285714286</v>
      </c>
      <c r="AG87" s="16">
        <v>200.0</v>
      </c>
      <c r="AH87" s="16">
        <v>300.0</v>
      </c>
      <c r="AI87" s="16">
        <v>266.6666666666667</v>
      </c>
      <c r="AJ87" s="16">
        <v>200.0</v>
      </c>
      <c r="AK87" s="16">
        <v>250.0</v>
      </c>
      <c r="AL87" s="17">
        <v>217.5</v>
      </c>
      <c r="AM87" s="18">
        <f t="shared" si="1"/>
        <v>150</v>
      </c>
      <c r="AN87" s="18">
        <f t="shared" si="2"/>
        <v>300</v>
      </c>
      <c r="AO87" s="18">
        <f t="shared" si="3"/>
        <v>245.9126984</v>
      </c>
    </row>
    <row r="88" ht="15.75" customHeight="1">
      <c r="A88" s="14" t="s">
        <v>106</v>
      </c>
      <c r="B88" s="15" t="s">
        <v>19</v>
      </c>
      <c r="C88" s="16">
        <v>18.0</v>
      </c>
      <c r="D88" s="16">
        <v>28.0</v>
      </c>
      <c r="E88" s="16">
        <v>23.1</v>
      </c>
      <c r="F88" s="16">
        <v>20.0</v>
      </c>
      <c r="G88" s="16">
        <v>46.0</v>
      </c>
      <c r="H88" s="16">
        <v>35.6153846153846</v>
      </c>
      <c r="I88" s="16">
        <v>35.0</v>
      </c>
      <c r="J88" s="16">
        <v>60.0</v>
      </c>
      <c r="K88" s="16">
        <v>47.52</v>
      </c>
      <c r="L88" s="16">
        <v>38.0</v>
      </c>
      <c r="M88" s="16">
        <v>52.0</v>
      </c>
      <c r="N88" s="16">
        <v>44.52</v>
      </c>
      <c r="O88" s="16">
        <v>40.0</v>
      </c>
      <c r="P88" s="16">
        <v>60.0</v>
      </c>
      <c r="Q88" s="16">
        <v>47.62</v>
      </c>
      <c r="R88" s="16">
        <v>25.0</v>
      </c>
      <c r="S88" s="16">
        <v>60.0</v>
      </c>
      <c r="T88" s="16">
        <v>36.8072</v>
      </c>
      <c r="U88" s="16">
        <v>30.0</v>
      </c>
      <c r="V88" s="16">
        <v>62.0</v>
      </c>
      <c r="W88" s="16">
        <v>48.0145833333333</v>
      </c>
      <c r="X88" s="16">
        <v>45.0</v>
      </c>
      <c r="Y88" s="16">
        <v>70.0</v>
      </c>
      <c r="Z88" s="16">
        <v>58.2220833333333</v>
      </c>
      <c r="AA88" s="16">
        <v>40.0</v>
      </c>
      <c r="AB88" s="16">
        <v>65.0</v>
      </c>
      <c r="AC88" s="16">
        <v>52.7431818181818</v>
      </c>
      <c r="AD88" s="16">
        <v>50.0</v>
      </c>
      <c r="AE88" s="16">
        <v>70.0</v>
      </c>
      <c r="AF88" s="16">
        <v>59.7877272727273</v>
      </c>
      <c r="AG88" s="16">
        <v>50.0</v>
      </c>
      <c r="AH88" s="16">
        <v>100.0</v>
      </c>
      <c r="AI88" s="16">
        <v>63.6504761904762</v>
      </c>
      <c r="AJ88" s="16">
        <v>80.0</v>
      </c>
      <c r="AK88" s="16">
        <v>130.0</v>
      </c>
      <c r="AL88" s="17">
        <v>96.9782608695652</v>
      </c>
      <c r="AM88" s="18">
        <f t="shared" si="1"/>
        <v>18</v>
      </c>
      <c r="AN88" s="18">
        <f t="shared" si="2"/>
        <v>130</v>
      </c>
      <c r="AO88" s="18">
        <f t="shared" si="3"/>
        <v>51.21490812</v>
      </c>
    </row>
    <row r="89" ht="15.75" customHeight="1">
      <c r="A89" s="14" t="s">
        <v>107</v>
      </c>
      <c r="B89" s="15" t="s">
        <v>19</v>
      </c>
      <c r="C89" s="16">
        <v>120.0</v>
      </c>
      <c r="D89" s="16">
        <v>140.0</v>
      </c>
      <c r="E89" s="16">
        <v>126.7613636363636</v>
      </c>
      <c r="F89" s="16">
        <v>120.0</v>
      </c>
      <c r="G89" s="16">
        <v>140.0</v>
      </c>
      <c r="H89" s="16">
        <v>134.1418518518519</v>
      </c>
      <c r="I89" s="16">
        <v>120.0</v>
      </c>
      <c r="J89" s="16">
        <v>160.0</v>
      </c>
      <c r="K89" s="16">
        <v>145.0104166666667</v>
      </c>
      <c r="L89" s="16">
        <v>140.0</v>
      </c>
      <c r="M89" s="16">
        <v>170.0</v>
      </c>
      <c r="N89" s="16">
        <v>158.3020833333333</v>
      </c>
      <c r="O89" s="16">
        <v>150.0</v>
      </c>
      <c r="P89" s="16">
        <v>170.0</v>
      </c>
      <c r="Q89" s="16">
        <v>162.6458333333333</v>
      </c>
      <c r="R89" s="16">
        <v>130.0</v>
      </c>
      <c r="S89" s="16">
        <v>170.0</v>
      </c>
      <c r="T89" s="16">
        <v>153.6</v>
      </c>
      <c r="U89" s="16">
        <v>160.0</v>
      </c>
      <c r="V89" s="16">
        <v>180.0</v>
      </c>
      <c r="W89" s="16">
        <v>170.625</v>
      </c>
      <c r="X89" s="16">
        <v>170.0</v>
      </c>
      <c r="Y89" s="16">
        <v>180.0</v>
      </c>
      <c r="Z89" s="16">
        <v>176.805</v>
      </c>
      <c r="AA89" s="16">
        <v>160.0</v>
      </c>
      <c r="AB89" s="16">
        <v>190.0</v>
      </c>
      <c r="AC89" s="16">
        <v>176.8409090909091</v>
      </c>
      <c r="AD89" s="16">
        <v>175.0</v>
      </c>
      <c r="AE89" s="16">
        <v>180.0</v>
      </c>
      <c r="AF89" s="16">
        <v>177.5227272727273</v>
      </c>
      <c r="AG89" s="16">
        <v>175.0</v>
      </c>
      <c r="AH89" s="16">
        <v>180.0</v>
      </c>
      <c r="AI89" s="16">
        <v>177.5</v>
      </c>
      <c r="AJ89" s="16">
        <v>160.0</v>
      </c>
      <c r="AK89" s="16">
        <v>185.0</v>
      </c>
      <c r="AL89" s="17">
        <v>173.3334782608696</v>
      </c>
      <c r="AM89" s="18">
        <f t="shared" si="1"/>
        <v>120</v>
      </c>
      <c r="AN89" s="18">
        <f t="shared" si="2"/>
        <v>190</v>
      </c>
      <c r="AO89" s="18">
        <f t="shared" si="3"/>
        <v>161.090722</v>
      </c>
    </row>
    <row r="90" ht="15.75" customHeight="1">
      <c r="A90" s="14" t="s">
        <v>108</v>
      </c>
      <c r="B90" s="15" t="s">
        <v>19</v>
      </c>
      <c r="C90" s="16">
        <v>30.0</v>
      </c>
      <c r="D90" s="16">
        <v>70.0</v>
      </c>
      <c r="E90" s="16">
        <v>47.4909090909091</v>
      </c>
      <c r="F90" s="16">
        <v>50.0</v>
      </c>
      <c r="G90" s="16">
        <v>100.0</v>
      </c>
      <c r="H90" s="16">
        <v>63.2974074074074</v>
      </c>
      <c r="I90" s="16">
        <v>50.0</v>
      </c>
      <c r="J90" s="16">
        <v>90.0</v>
      </c>
      <c r="K90" s="16">
        <v>67.0836</v>
      </c>
      <c r="L90" s="16">
        <v>22.0</v>
      </c>
      <c r="M90" s="16">
        <v>64.0</v>
      </c>
      <c r="N90" s="16">
        <v>38.032</v>
      </c>
      <c r="O90" s="16">
        <v>18.0</v>
      </c>
      <c r="P90" s="16">
        <v>40.0</v>
      </c>
      <c r="Q90" s="16">
        <v>24.69</v>
      </c>
      <c r="R90" s="16">
        <v>22.0</v>
      </c>
      <c r="S90" s="16">
        <v>50.0</v>
      </c>
      <c r="T90" s="16">
        <v>34.322</v>
      </c>
      <c r="U90" s="16">
        <v>20.0</v>
      </c>
      <c r="V90" s="16">
        <v>80.0</v>
      </c>
      <c r="W90" s="16">
        <v>36.8179166666667</v>
      </c>
      <c r="X90" s="16">
        <v>20.0</v>
      </c>
      <c r="Y90" s="16">
        <v>42.0</v>
      </c>
      <c r="Z90" s="16">
        <v>33.52375</v>
      </c>
      <c r="AA90" s="16">
        <v>30.0</v>
      </c>
      <c r="AB90" s="16">
        <v>65.0</v>
      </c>
      <c r="AC90" s="16">
        <v>40.505</v>
      </c>
      <c r="AD90" s="16">
        <v>50.0</v>
      </c>
      <c r="AE90" s="16">
        <v>75.0</v>
      </c>
      <c r="AF90" s="16">
        <v>60.9331818181818</v>
      </c>
      <c r="AG90" s="16">
        <v>50.0</v>
      </c>
      <c r="AH90" s="16">
        <v>120.0</v>
      </c>
      <c r="AI90" s="16">
        <v>80.222380952381</v>
      </c>
      <c r="AJ90" s="16">
        <v>32.0</v>
      </c>
      <c r="AK90" s="16">
        <v>90.0</v>
      </c>
      <c r="AL90" s="17">
        <v>55.9926086956522</v>
      </c>
      <c r="AM90" s="18">
        <f t="shared" si="1"/>
        <v>18</v>
      </c>
      <c r="AN90" s="18">
        <f t="shared" si="2"/>
        <v>120</v>
      </c>
      <c r="AO90" s="18">
        <f t="shared" si="3"/>
        <v>48.57589622</v>
      </c>
    </row>
    <row r="91" ht="15.75" customHeight="1">
      <c r="A91" s="14" t="s">
        <v>109</v>
      </c>
      <c r="B91" s="15" t="s">
        <v>19</v>
      </c>
      <c r="C91" s="16">
        <v>48.0</v>
      </c>
      <c r="D91" s="16">
        <v>140.0</v>
      </c>
      <c r="E91" s="16">
        <v>93.1242857142857</v>
      </c>
      <c r="F91" s="16">
        <v>30.0</v>
      </c>
      <c r="G91" s="16">
        <v>60.0</v>
      </c>
      <c r="H91" s="16">
        <v>42.9344444444444</v>
      </c>
      <c r="I91" s="16">
        <v>32.0</v>
      </c>
      <c r="J91" s="16">
        <v>90.0</v>
      </c>
      <c r="K91" s="16">
        <v>57.2088</v>
      </c>
      <c r="L91" s="16">
        <v>52.0</v>
      </c>
      <c r="M91" s="16">
        <v>100.0</v>
      </c>
      <c r="N91" s="16">
        <v>73.8758333333333</v>
      </c>
      <c r="O91" s="16">
        <v>45.0</v>
      </c>
      <c r="P91" s="16">
        <v>100.0</v>
      </c>
      <c r="Q91" s="16">
        <v>63.01125</v>
      </c>
      <c r="R91" s="16">
        <v>80.0</v>
      </c>
      <c r="S91" s="16">
        <v>180.0</v>
      </c>
      <c r="T91" s="16">
        <v>119.2533333333333</v>
      </c>
      <c r="U91" s="16">
        <v>30.0</v>
      </c>
      <c r="V91" s="16">
        <v>100.0</v>
      </c>
      <c r="W91" s="16">
        <v>58.9025</v>
      </c>
      <c r="X91" s="16">
        <v>30.0</v>
      </c>
      <c r="Y91" s="16">
        <v>40.0</v>
      </c>
      <c r="Z91" s="16">
        <v>34.6845833333333</v>
      </c>
      <c r="AA91" s="16">
        <v>32.0</v>
      </c>
      <c r="AB91" s="16">
        <v>65.0</v>
      </c>
      <c r="AC91" s="16">
        <v>37.9027272727273</v>
      </c>
      <c r="AD91" s="16">
        <v>45.0</v>
      </c>
      <c r="AE91" s="16">
        <v>65.0</v>
      </c>
      <c r="AF91" s="16">
        <v>55.2318181818182</v>
      </c>
      <c r="AG91" s="16">
        <v>45.0</v>
      </c>
      <c r="AH91" s="16">
        <v>60.0</v>
      </c>
      <c r="AI91" s="16">
        <v>51.7657142857143</v>
      </c>
      <c r="AJ91" s="16">
        <v>35.0</v>
      </c>
      <c r="AK91" s="16">
        <v>120.0</v>
      </c>
      <c r="AL91" s="17">
        <v>88.0804347826087</v>
      </c>
      <c r="AM91" s="18">
        <f t="shared" si="1"/>
        <v>30</v>
      </c>
      <c r="AN91" s="18">
        <f t="shared" si="2"/>
        <v>180</v>
      </c>
      <c r="AO91" s="18">
        <f t="shared" si="3"/>
        <v>64.66464372</v>
      </c>
    </row>
    <row r="92" ht="15.75" customHeight="1">
      <c r="A92" s="14" t="s">
        <v>110</v>
      </c>
      <c r="B92" s="15" t="s">
        <v>19</v>
      </c>
      <c r="C92" s="16">
        <v>40.0</v>
      </c>
      <c r="D92" s="16">
        <v>55.0</v>
      </c>
      <c r="E92" s="16">
        <v>47.9522727272727</v>
      </c>
      <c r="F92" s="16">
        <v>40.0</v>
      </c>
      <c r="G92" s="16">
        <v>60.0</v>
      </c>
      <c r="H92" s="16">
        <v>47.3034615384615</v>
      </c>
      <c r="I92" s="16">
        <v>45.0</v>
      </c>
      <c r="J92" s="16">
        <v>55.0</v>
      </c>
      <c r="K92" s="16">
        <v>48.8976</v>
      </c>
      <c r="L92" s="16">
        <v>40.0</v>
      </c>
      <c r="M92" s="16">
        <v>70.0</v>
      </c>
      <c r="N92" s="16">
        <v>49.0636</v>
      </c>
      <c r="O92" s="16">
        <v>55.0</v>
      </c>
      <c r="P92" s="16">
        <v>150.0</v>
      </c>
      <c r="Q92" s="16">
        <v>92.6668</v>
      </c>
      <c r="R92" s="16">
        <v>60.0</v>
      </c>
      <c r="S92" s="16">
        <v>175.0</v>
      </c>
      <c r="T92" s="16">
        <v>111.6666666666667</v>
      </c>
      <c r="U92" s="16">
        <v>45.0</v>
      </c>
      <c r="V92" s="16">
        <v>120.0</v>
      </c>
      <c r="W92" s="16">
        <v>69.4869230769231</v>
      </c>
      <c r="X92" s="16">
        <v>48.0</v>
      </c>
      <c r="Y92" s="16">
        <v>100.0</v>
      </c>
      <c r="Z92" s="16">
        <v>68.1108333333333</v>
      </c>
      <c r="AA92" s="16">
        <v>38.0</v>
      </c>
      <c r="AB92" s="16">
        <v>70.0</v>
      </c>
      <c r="AC92" s="16">
        <v>53.7904545454545</v>
      </c>
      <c r="AD92" s="16">
        <v>45.0</v>
      </c>
      <c r="AE92" s="16">
        <v>100.0</v>
      </c>
      <c r="AF92" s="16">
        <v>63.6345454545455</v>
      </c>
      <c r="AG92" s="16">
        <v>25.0</v>
      </c>
      <c r="AH92" s="16">
        <v>65.0</v>
      </c>
      <c r="AI92" s="16">
        <v>40.6814285714286</v>
      </c>
      <c r="AJ92" s="16">
        <v>20.0</v>
      </c>
      <c r="AK92" s="16">
        <v>55.0</v>
      </c>
      <c r="AL92" s="17">
        <v>34.9695652173913</v>
      </c>
      <c r="AM92" s="18">
        <f t="shared" si="1"/>
        <v>20</v>
      </c>
      <c r="AN92" s="18">
        <f t="shared" si="2"/>
        <v>175</v>
      </c>
      <c r="AO92" s="18">
        <f t="shared" si="3"/>
        <v>60.68534593</v>
      </c>
    </row>
    <row r="93" ht="15.75" customHeight="1">
      <c r="A93" s="14" t="s">
        <v>111</v>
      </c>
      <c r="B93" s="15" t="s">
        <v>19</v>
      </c>
      <c r="C93" s="16">
        <v>60.0</v>
      </c>
      <c r="D93" s="16">
        <v>100.0</v>
      </c>
      <c r="E93" s="16">
        <v>72.4245454545455</v>
      </c>
      <c r="F93" s="16">
        <v>50.0</v>
      </c>
      <c r="G93" s="16">
        <v>110.0</v>
      </c>
      <c r="H93" s="16">
        <v>73.68</v>
      </c>
      <c r="I93" s="16">
        <v>110.0</v>
      </c>
      <c r="J93" s="16">
        <v>210.0</v>
      </c>
      <c r="K93" s="16">
        <v>153.6829166666667</v>
      </c>
      <c r="L93" s="16">
        <v>40.0</v>
      </c>
      <c r="M93" s="16">
        <v>200.0</v>
      </c>
      <c r="N93" s="16">
        <v>96.266</v>
      </c>
      <c r="O93" s="16">
        <v>45.0</v>
      </c>
      <c r="P93" s="16">
        <v>140.0</v>
      </c>
      <c r="Q93" s="16">
        <v>66.9164</v>
      </c>
      <c r="R93" s="16">
        <v>70.0</v>
      </c>
      <c r="S93" s="16">
        <v>225.0</v>
      </c>
      <c r="T93" s="16">
        <v>164.7</v>
      </c>
      <c r="U93" s="16">
        <v>40.0</v>
      </c>
      <c r="V93" s="16">
        <v>200.0</v>
      </c>
      <c r="W93" s="16">
        <v>89.8913043478261</v>
      </c>
      <c r="X93" s="16">
        <v>40.0</v>
      </c>
      <c r="Y93" s="16">
        <v>100.0</v>
      </c>
      <c r="Z93" s="16">
        <v>52.2282608695652</v>
      </c>
      <c r="AA93" s="16">
        <v>40.0</v>
      </c>
      <c r="AB93" s="16">
        <v>140.0</v>
      </c>
      <c r="AC93" s="16">
        <v>67.9695454545455</v>
      </c>
      <c r="AD93" s="16">
        <v>50.0</v>
      </c>
      <c r="AE93" s="16">
        <v>150.0</v>
      </c>
      <c r="AF93" s="16">
        <v>90.4371428571429</v>
      </c>
      <c r="AG93" s="16">
        <v>20.0</v>
      </c>
      <c r="AH93" s="16">
        <v>70.0</v>
      </c>
      <c r="AI93" s="16">
        <v>42.9042857142857</v>
      </c>
      <c r="AJ93" s="16">
        <v>25.0</v>
      </c>
      <c r="AK93" s="16">
        <v>125.0</v>
      </c>
      <c r="AL93" s="17">
        <v>47.5186363636364</v>
      </c>
      <c r="AM93" s="18">
        <f t="shared" si="1"/>
        <v>20</v>
      </c>
      <c r="AN93" s="18">
        <f t="shared" si="2"/>
        <v>225</v>
      </c>
      <c r="AO93" s="18">
        <f t="shared" si="3"/>
        <v>84.88491981</v>
      </c>
    </row>
    <row r="94" ht="15.75" customHeight="1">
      <c r="A94" s="14" t="s">
        <v>112</v>
      </c>
      <c r="B94" s="15" t="s">
        <v>19</v>
      </c>
      <c r="C94" s="16">
        <v>88.0</v>
      </c>
      <c r="D94" s="16">
        <v>100.0</v>
      </c>
      <c r="E94" s="16">
        <v>93.7159090909091</v>
      </c>
      <c r="F94" s="16">
        <v>88.0</v>
      </c>
      <c r="G94" s="16">
        <v>150.0</v>
      </c>
      <c r="H94" s="16">
        <v>120.5259259259259</v>
      </c>
      <c r="I94" s="16">
        <v>130.0</v>
      </c>
      <c r="J94" s="16">
        <v>155.0</v>
      </c>
      <c r="K94" s="16">
        <v>144.64</v>
      </c>
      <c r="L94" s="16">
        <v>140.0</v>
      </c>
      <c r="M94" s="16">
        <v>160.0</v>
      </c>
      <c r="N94" s="16">
        <v>153.104</v>
      </c>
      <c r="O94" s="16">
        <v>135.0</v>
      </c>
      <c r="P94" s="16">
        <v>150.0</v>
      </c>
      <c r="Q94" s="16">
        <v>143.934</v>
      </c>
      <c r="R94" s="16">
        <v>118.0</v>
      </c>
      <c r="S94" s="16">
        <v>150.0</v>
      </c>
      <c r="T94" s="16">
        <v>133.248</v>
      </c>
      <c r="U94" s="16">
        <v>110.0</v>
      </c>
      <c r="V94" s="16">
        <v>125.0</v>
      </c>
      <c r="W94" s="16">
        <v>115.3583333333333</v>
      </c>
      <c r="X94" s="16">
        <v>105.0</v>
      </c>
      <c r="Y94" s="16">
        <v>118.0</v>
      </c>
      <c r="Z94" s="16">
        <v>111.0066666666667</v>
      </c>
      <c r="AA94" s="16">
        <v>100.0</v>
      </c>
      <c r="AB94" s="16">
        <v>160.0</v>
      </c>
      <c r="AC94" s="16">
        <v>117.3636363636364</v>
      </c>
      <c r="AD94" s="16">
        <v>145.0</v>
      </c>
      <c r="AE94" s="16">
        <v>160.0</v>
      </c>
      <c r="AF94" s="16">
        <v>152.4363636363636</v>
      </c>
      <c r="AG94" s="16">
        <v>145.0</v>
      </c>
      <c r="AH94" s="16">
        <v>150.0</v>
      </c>
      <c r="AI94" s="16">
        <v>147.5238095238095</v>
      </c>
      <c r="AJ94" s="16">
        <v>120.0</v>
      </c>
      <c r="AK94" s="16">
        <v>150.0</v>
      </c>
      <c r="AL94" s="17">
        <v>143.6478260869565</v>
      </c>
      <c r="AM94" s="18">
        <f t="shared" si="1"/>
        <v>88</v>
      </c>
      <c r="AN94" s="18">
        <f t="shared" si="2"/>
        <v>160</v>
      </c>
      <c r="AO94" s="18">
        <f t="shared" si="3"/>
        <v>131.3753726</v>
      </c>
    </row>
    <row r="95" ht="15.75" customHeight="1">
      <c r="A95" s="14" t="s">
        <v>113</v>
      </c>
      <c r="B95" s="15" t="s">
        <v>19</v>
      </c>
      <c r="C95" s="16">
        <v>40.0</v>
      </c>
      <c r="D95" s="16">
        <v>60.0</v>
      </c>
      <c r="E95" s="16">
        <v>51.6840909090909</v>
      </c>
      <c r="F95" s="16">
        <v>40.0</v>
      </c>
      <c r="G95" s="16">
        <v>65.0</v>
      </c>
      <c r="H95" s="16">
        <v>51.1325925925926</v>
      </c>
      <c r="I95" s="16">
        <v>50.0</v>
      </c>
      <c r="J95" s="16">
        <v>100.0</v>
      </c>
      <c r="K95" s="16">
        <v>79.03</v>
      </c>
      <c r="L95" s="16">
        <v>75.0</v>
      </c>
      <c r="M95" s="16">
        <v>100.0</v>
      </c>
      <c r="N95" s="16">
        <v>88.06</v>
      </c>
      <c r="O95" s="16">
        <v>85.0</v>
      </c>
      <c r="P95" s="16">
        <v>110.0</v>
      </c>
      <c r="Q95" s="16">
        <v>95.41</v>
      </c>
      <c r="R95" s="16">
        <v>50.0</v>
      </c>
      <c r="S95" s="16">
        <v>110.0</v>
      </c>
      <c r="T95" s="16">
        <v>89.0368</v>
      </c>
      <c r="U95" s="16">
        <v>50.0</v>
      </c>
      <c r="V95" s="16">
        <v>80.0</v>
      </c>
      <c r="W95" s="16">
        <v>72.2054166666667</v>
      </c>
      <c r="X95" s="16">
        <v>70.0</v>
      </c>
      <c r="Y95" s="16">
        <v>90.0</v>
      </c>
      <c r="Z95" s="16">
        <v>77.2225</v>
      </c>
      <c r="AA95" s="16">
        <v>50.0</v>
      </c>
      <c r="AB95" s="16">
        <v>80.0</v>
      </c>
      <c r="AC95" s="16">
        <v>67.945</v>
      </c>
      <c r="AD95" s="16">
        <v>50.0</v>
      </c>
      <c r="AE95" s="16">
        <v>70.0</v>
      </c>
      <c r="AF95" s="16">
        <v>56.365</v>
      </c>
      <c r="AG95" s="16">
        <v>50.0</v>
      </c>
      <c r="AH95" s="16">
        <v>110.0</v>
      </c>
      <c r="AI95" s="16">
        <v>84.6828571428571</v>
      </c>
      <c r="AJ95" s="16">
        <v>70.0</v>
      </c>
      <c r="AK95" s="16">
        <v>100.0</v>
      </c>
      <c r="AL95" s="17">
        <v>85.7065217391304</v>
      </c>
      <c r="AM95" s="18">
        <f t="shared" si="1"/>
        <v>40</v>
      </c>
      <c r="AN95" s="18">
        <f t="shared" si="2"/>
        <v>110</v>
      </c>
      <c r="AO95" s="18">
        <f t="shared" si="3"/>
        <v>74.87339825</v>
      </c>
    </row>
    <row r="96" ht="15.75" customHeight="1">
      <c r="A96" s="14" t="s">
        <v>114</v>
      </c>
      <c r="B96" s="15" t="s">
        <v>19</v>
      </c>
      <c r="C96" s="16">
        <v>40.0</v>
      </c>
      <c r="D96" s="16">
        <v>50.0</v>
      </c>
      <c r="E96" s="16">
        <v>45.667</v>
      </c>
      <c r="F96" s="16">
        <v>30.0</v>
      </c>
      <c r="G96" s="16">
        <v>50.0</v>
      </c>
      <c r="H96" s="16">
        <v>38.8288888888889</v>
      </c>
      <c r="I96" s="16">
        <v>45.0</v>
      </c>
      <c r="J96" s="16">
        <v>80.0</v>
      </c>
      <c r="K96" s="16">
        <v>61.5154545454545</v>
      </c>
      <c r="L96" s="16">
        <v>50.0</v>
      </c>
      <c r="M96" s="16">
        <v>80.0</v>
      </c>
      <c r="N96" s="16">
        <v>72.8475</v>
      </c>
      <c r="O96" s="16">
        <v>70.0</v>
      </c>
      <c r="P96" s="16">
        <v>120.0</v>
      </c>
      <c r="Q96" s="16">
        <v>96.5789473684211</v>
      </c>
      <c r="R96" s="16">
        <v>60.0</v>
      </c>
      <c r="S96" s="16">
        <v>80.0</v>
      </c>
      <c r="T96" s="16">
        <v>67.5</v>
      </c>
      <c r="U96" s="16">
        <v>60.0</v>
      </c>
      <c r="V96" s="16">
        <v>80.0</v>
      </c>
      <c r="W96" s="16">
        <v>70.6886956521739</v>
      </c>
      <c r="X96" s="16">
        <v>70.0</v>
      </c>
      <c r="Y96" s="16">
        <v>210.0</v>
      </c>
      <c r="Z96" s="16">
        <v>147.1968181818182</v>
      </c>
      <c r="AA96" s="16">
        <v>150.0</v>
      </c>
      <c r="AB96" s="16">
        <v>200.0</v>
      </c>
      <c r="AC96" s="16">
        <v>188.5294117647059</v>
      </c>
      <c r="AD96" s="16">
        <v>150.0</v>
      </c>
      <c r="AE96" s="16">
        <v>200.0</v>
      </c>
      <c r="AF96" s="16">
        <v>178.2142857142857</v>
      </c>
      <c r="AG96" s="16"/>
      <c r="AH96" s="16"/>
      <c r="AI96" s="16"/>
      <c r="AJ96" s="16">
        <v>60.0</v>
      </c>
      <c r="AK96" s="16">
        <v>100.0</v>
      </c>
      <c r="AL96" s="17">
        <v>77.0588235294118</v>
      </c>
      <c r="AM96" s="18">
        <f t="shared" si="1"/>
        <v>30</v>
      </c>
      <c r="AN96" s="18">
        <f t="shared" si="2"/>
        <v>210</v>
      </c>
      <c r="AO96" s="18">
        <f t="shared" si="3"/>
        <v>94.96598415</v>
      </c>
    </row>
    <row r="97" ht="15.75" customHeight="1">
      <c r="A97" s="14" t="s">
        <v>115</v>
      </c>
      <c r="B97" s="15" t="s">
        <v>19</v>
      </c>
      <c r="C97" s="16">
        <v>28.0</v>
      </c>
      <c r="D97" s="16">
        <v>120.0</v>
      </c>
      <c r="E97" s="16">
        <v>96.3027272727273</v>
      </c>
      <c r="F97" s="16">
        <v>70.0</v>
      </c>
      <c r="G97" s="16">
        <v>100.0</v>
      </c>
      <c r="H97" s="16">
        <v>85.5</v>
      </c>
      <c r="I97" s="16">
        <v>60.0</v>
      </c>
      <c r="J97" s="16">
        <v>70.0</v>
      </c>
      <c r="K97" s="16">
        <v>65.0</v>
      </c>
      <c r="L97" s="16">
        <v>50.0</v>
      </c>
      <c r="M97" s="16">
        <v>90.0</v>
      </c>
      <c r="N97" s="16">
        <v>75.695</v>
      </c>
      <c r="O97" s="16">
        <v>65.0</v>
      </c>
      <c r="P97" s="16">
        <v>130.0</v>
      </c>
      <c r="Q97" s="16">
        <v>97.2058823529412</v>
      </c>
      <c r="R97" s="16">
        <v>80.0</v>
      </c>
      <c r="S97" s="16">
        <v>150.0</v>
      </c>
      <c r="T97" s="16">
        <v>124.375</v>
      </c>
      <c r="U97" s="16">
        <v>130.0</v>
      </c>
      <c r="V97" s="16">
        <v>150.0</v>
      </c>
      <c r="W97" s="16">
        <v>139.0</v>
      </c>
      <c r="X97" s="16">
        <v>130.0</v>
      </c>
      <c r="Y97" s="16">
        <v>150.0</v>
      </c>
      <c r="Z97" s="16">
        <v>141.8181818181818</v>
      </c>
      <c r="AA97" s="16">
        <v>38.0</v>
      </c>
      <c r="AB97" s="16">
        <v>150.0</v>
      </c>
      <c r="AC97" s="16">
        <v>118.54125</v>
      </c>
      <c r="AD97" s="16">
        <v>60.0</v>
      </c>
      <c r="AE97" s="16">
        <v>200.0</v>
      </c>
      <c r="AF97" s="16">
        <v>124.8807142857143</v>
      </c>
      <c r="AG97" s="16">
        <v>70.0</v>
      </c>
      <c r="AH97" s="16">
        <v>150.0</v>
      </c>
      <c r="AI97" s="16">
        <v>120.952380952381</v>
      </c>
      <c r="AJ97" s="16">
        <v>100.0</v>
      </c>
      <c r="AK97" s="16">
        <v>150.0</v>
      </c>
      <c r="AL97" s="17">
        <v>111.25</v>
      </c>
      <c r="AM97" s="18">
        <f t="shared" si="1"/>
        <v>28</v>
      </c>
      <c r="AN97" s="18">
        <f t="shared" si="2"/>
        <v>200</v>
      </c>
      <c r="AO97" s="18">
        <f t="shared" si="3"/>
        <v>108.3767614</v>
      </c>
    </row>
    <row r="98" ht="15.0" customHeight="1">
      <c r="A98" s="14" t="s">
        <v>116</v>
      </c>
      <c r="B98" s="15" t="s">
        <v>19</v>
      </c>
      <c r="C98" s="16">
        <v>145.0</v>
      </c>
      <c r="D98" s="16">
        <v>155.0</v>
      </c>
      <c r="E98" s="16">
        <v>152.0227272727273</v>
      </c>
      <c r="F98" s="16">
        <v>150.0</v>
      </c>
      <c r="G98" s="16">
        <v>170.0</v>
      </c>
      <c r="H98" s="16">
        <v>157.2934782608696</v>
      </c>
      <c r="I98" s="16">
        <v>150.0</v>
      </c>
      <c r="J98" s="16">
        <v>170.0</v>
      </c>
      <c r="K98" s="16">
        <v>162.07</v>
      </c>
      <c r="L98" s="16">
        <v>155.0</v>
      </c>
      <c r="M98" s="16">
        <v>170.0</v>
      </c>
      <c r="N98" s="16">
        <v>162.01</v>
      </c>
      <c r="O98" s="16">
        <v>160.0</v>
      </c>
      <c r="P98" s="16">
        <v>200.0</v>
      </c>
      <c r="Q98" s="16">
        <v>183.1532</v>
      </c>
      <c r="R98" s="16">
        <v>180.0</v>
      </c>
      <c r="S98" s="16">
        <v>210.0</v>
      </c>
      <c r="T98" s="16">
        <v>193.4268</v>
      </c>
      <c r="U98" s="16">
        <v>195.0</v>
      </c>
      <c r="V98" s="16">
        <v>250.0</v>
      </c>
      <c r="W98" s="16">
        <v>219.375</v>
      </c>
      <c r="X98" s="16">
        <v>190.0</v>
      </c>
      <c r="Y98" s="16">
        <v>230.0</v>
      </c>
      <c r="Z98" s="16">
        <v>211.4791666666667</v>
      </c>
      <c r="AA98" s="16">
        <v>190.0</v>
      </c>
      <c r="AB98" s="16">
        <v>225.0</v>
      </c>
      <c r="AC98" s="16">
        <v>200.8863636363636</v>
      </c>
      <c r="AD98" s="16">
        <v>190.0</v>
      </c>
      <c r="AE98" s="16">
        <v>220.0</v>
      </c>
      <c r="AF98" s="16">
        <v>202.3181818181818</v>
      </c>
      <c r="AG98" s="16">
        <v>200.0</v>
      </c>
      <c r="AH98" s="16">
        <v>230.0</v>
      </c>
      <c r="AI98" s="16">
        <v>215.0595238095238</v>
      </c>
      <c r="AJ98" s="16">
        <v>210.0</v>
      </c>
      <c r="AK98" s="16">
        <v>220.0</v>
      </c>
      <c r="AL98" s="17">
        <v>214.7173913043478</v>
      </c>
      <c r="AM98" s="18">
        <f t="shared" si="1"/>
        <v>145</v>
      </c>
      <c r="AN98" s="18">
        <f t="shared" si="2"/>
        <v>250</v>
      </c>
      <c r="AO98" s="18">
        <f t="shared" si="3"/>
        <v>189.4843194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16" width="8.0"/>
    <col customWidth="1" min="17" max="17" width="10.0"/>
    <col customWidth="1" min="18" max="25" width="8.0"/>
  </cols>
  <sheetData>
    <row r="1" ht="18.75" customHeight="1">
      <c r="A1" s="20" t="s">
        <v>117</v>
      </c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22" t="s">
        <v>118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9.5" customHeight="1">
      <c r="A2" s="23" t="s">
        <v>18</v>
      </c>
      <c r="B2" s="24">
        <v>476895.0</v>
      </c>
      <c r="C2" s="24">
        <v>375958.0</v>
      </c>
      <c r="D2" s="24">
        <v>344587.0</v>
      </c>
      <c r="E2" s="24">
        <v>309832.0</v>
      </c>
      <c r="F2" s="24">
        <v>317436.0</v>
      </c>
      <c r="G2" s="24">
        <v>312428.0</v>
      </c>
      <c r="H2" s="24">
        <v>243430.0</v>
      </c>
      <c r="I2" s="24">
        <v>458837.0</v>
      </c>
      <c r="J2" s="24">
        <v>445775.0</v>
      </c>
      <c r="K2" s="24">
        <v>406955.0</v>
      </c>
      <c r="L2" s="24">
        <v>155135.0</v>
      </c>
      <c r="M2" s="24">
        <v>846105.0</v>
      </c>
      <c r="N2" s="25">
        <v>4693373.0</v>
      </c>
      <c r="P2" s="26"/>
    </row>
    <row r="3" ht="19.5" customHeight="1">
      <c r="A3" s="23" t="s">
        <v>20</v>
      </c>
      <c r="B3" s="24">
        <v>2355987.0</v>
      </c>
      <c r="C3" s="24">
        <v>2269150.0</v>
      </c>
      <c r="D3" s="24">
        <v>1759020.0</v>
      </c>
      <c r="E3" s="24">
        <v>1431585.0</v>
      </c>
      <c r="F3" s="24">
        <v>1158140.0</v>
      </c>
      <c r="G3" s="24">
        <v>1125300.0</v>
      </c>
      <c r="H3" s="24">
        <v>1335825.0</v>
      </c>
      <c r="I3" s="24">
        <v>1434720.0</v>
      </c>
      <c r="J3" s="24">
        <v>1506458.0</v>
      </c>
      <c r="K3" s="24">
        <v>2112840.0</v>
      </c>
      <c r="L3" s="24">
        <v>2412955.0</v>
      </c>
      <c r="M3" s="24">
        <v>2150275.0</v>
      </c>
      <c r="N3" s="25">
        <v>2.1052255E7</v>
      </c>
      <c r="P3" s="26"/>
    </row>
    <row r="4" ht="19.5" customHeight="1">
      <c r="A4" s="23" t="s">
        <v>21</v>
      </c>
      <c r="B4" s="24">
        <v>2360750.0</v>
      </c>
      <c r="C4" s="24">
        <v>2299210.0</v>
      </c>
      <c r="D4" s="24">
        <v>2367270.0</v>
      </c>
      <c r="E4" s="24">
        <v>3046278.0</v>
      </c>
      <c r="F4" s="24">
        <v>3536833.0</v>
      </c>
      <c r="G4" s="24">
        <v>3358192.0</v>
      </c>
      <c r="H4" s="24">
        <v>2617618.0</v>
      </c>
      <c r="I4" s="24">
        <v>2953068.0</v>
      </c>
      <c r="J4" s="24">
        <v>3518824.0</v>
      </c>
      <c r="K4" s="24">
        <v>4270160.0</v>
      </c>
      <c r="L4" s="24">
        <v>4186094.0</v>
      </c>
      <c r="M4" s="24">
        <v>3788498.0</v>
      </c>
      <c r="N4" s="25">
        <v>3.8302795E7</v>
      </c>
      <c r="P4" s="26"/>
    </row>
    <row r="5" ht="19.5" customHeight="1">
      <c r="A5" s="23" t="s">
        <v>22</v>
      </c>
      <c r="B5" s="24">
        <v>421320.0</v>
      </c>
      <c r="C5" s="24">
        <v>338400.0</v>
      </c>
      <c r="D5" s="24">
        <v>641596.0</v>
      </c>
      <c r="E5" s="24">
        <v>942270.0</v>
      </c>
      <c r="F5" s="24">
        <v>832637.0</v>
      </c>
      <c r="G5" s="24">
        <v>1259690.0</v>
      </c>
      <c r="H5" s="24">
        <v>654346.0</v>
      </c>
      <c r="I5" s="24">
        <v>891780.0</v>
      </c>
      <c r="J5" s="24">
        <v>889290.0</v>
      </c>
      <c r="K5" s="24">
        <v>903180.0</v>
      </c>
      <c r="L5" s="24">
        <v>742892.0</v>
      </c>
      <c r="M5" s="24">
        <v>463168.0</v>
      </c>
      <c r="N5" s="25">
        <v>8980569.0</v>
      </c>
      <c r="P5" s="26"/>
    </row>
    <row r="6" ht="19.5" customHeight="1">
      <c r="A6" s="23" t="s">
        <v>24</v>
      </c>
      <c r="B6" s="24">
        <v>1873256.0</v>
      </c>
      <c r="C6" s="24">
        <v>2049822.0</v>
      </c>
      <c r="D6" s="24">
        <v>2152344.0</v>
      </c>
      <c r="E6" s="24">
        <v>1848333.0</v>
      </c>
      <c r="F6" s="24">
        <v>1891608.0</v>
      </c>
      <c r="G6" s="24">
        <v>1766624.0</v>
      </c>
      <c r="H6" s="24">
        <v>1251984.0</v>
      </c>
      <c r="I6" s="24">
        <v>1452820.0</v>
      </c>
      <c r="J6" s="24">
        <v>1729732.0</v>
      </c>
      <c r="K6" s="24">
        <v>1571128.0</v>
      </c>
      <c r="L6" s="24">
        <v>1769120.0</v>
      </c>
      <c r="M6" s="24">
        <v>1894716.0</v>
      </c>
      <c r="N6" s="25">
        <v>2.1251487E7</v>
      </c>
      <c r="P6" s="26"/>
    </row>
    <row r="7" ht="19.5" customHeight="1">
      <c r="A7" s="23" t="s">
        <v>25</v>
      </c>
      <c r="B7" s="24">
        <v>606275.0</v>
      </c>
      <c r="C7" s="24">
        <v>202655.0</v>
      </c>
      <c r="D7" s="24">
        <v>151260.0</v>
      </c>
      <c r="E7" s="24">
        <v>55985.0</v>
      </c>
      <c r="F7" s="24">
        <v>40750.0</v>
      </c>
      <c r="G7" s="24">
        <v>37785.0</v>
      </c>
      <c r="H7" s="24">
        <v>31500.0</v>
      </c>
      <c r="I7" s="24">
        <v>66050.0</v>
      </c>
      <c r="J7" s="24">
        <v>86985.0</v>
      </c>
      <c r="K7" s="24">
        <v>290135.0</v>
      </c>
      <c r="L7" s="24">
        <v>603530.0</v>
      </c>
      <c r="M7" s="24">
        <v>403680.0</v>
      </c>
      <c r="N7" s="25">
        <v>2576590.0</v>
      </c>
      <c r="P7" s="26"/>
    </row>
    <row r="8" ht="18.75" customHeight="1">
      <c r="A8" s="23" t="s">
        <v>26</v>
      </c>
      <c r="B8" s="24">
        <v>1065370.0</v>
      </c>
      <c r="C8" s="24">
        <v>432845.0</v>
      </c>
      <c r="D8" s="24">
        <v>1002430.0</v>
      </c>
      <c r="E8" s="24">
        <v>1866650.0</v>
      </c>
      <c r="F8" s="24">
        <v>1978930.0</v>
      </c>
      <c r="G8" s="24">
        <v>1626850.0</v>
      </c>
      <c r="H8" s="24">
        <v>741690.0</v>
      </c>
      <c r="I8" s="24">
        <v>807300.0</v>
      </c>
      <c r="J8" s="24">
        <v>1023710.0</v>
      </c>
      <c r="K8" s="24">
        <v>1180290.0</v>
      </c>
      <c r="L8" s="24">
        <v>1043909.0</v>
      </c>
      <c r="M8" s="24">
        <v>937600.0</v>
      </c>
      <c r="N8" s="25">
        <v>1.3707574E7</v>
      </c>
      <c r="P8" s="26"/>
    </row>
    <row r="9" ht="15.0" customHeight="1">
      <c r="A9" s="23" t="s">
        <v>27</v>
      </c>
      <c r="B9" s="24">
        <v>1397660.0</v>
      </c>
      <c r="C9" s="24">
        <v>734546.0</v>
      </c>
      <c r="D9" s="24">
        <v>1385900.0</v>
      </c>
      <c r="E9" s="24">
        <v>2102200.0</v>
      </c>
      <c r="F9" s="24">
        <v>1818450.0</v>
      </c>
      <c r="G9" s="24">
        <v>1947760.0</v>
      </c>
      <c r="H9" s="24">
        <v>2163300.0</v>
      </c>
      <c r="I9" s="24">
        <v>3331570.0</v>
      </c>
      <c r="J9" s="24">
        <v>1973770.0</v>
      </c>
      <c r="K9" s="24">
        <v>2107930.0</v>
      </c>
      <c r="L9" s="24">
        <v>2684185.0</v>
      </c>
      <c r="M9" s="24">
        <v>1569810.0</v>
      </c>
      <c r="N9" s="25">
        <v>2.3217081E7</v>
      </c>
    </row>
    <row r="10" ht="15.0" customHeight="1">
      <c r="A10" s="23" t="s">
        <v>28</v>
      </c>
      <c r="B10" s="24">
        <v>10950.0</v>
      </c>
      <c r="C10" s="24">
        <v>9500.0</v>
      </c>
      <c r="D10" s="24">
        <v>10000.0</v>
      </c>
      <c r="E10" s="24">
        <v>500.0</v>
      </c>
      <c r="F10" s="24">
        <v>2500.0</v>
      </c>
      <c r="G10" s="24">
        <v>16000.0</v>
      </c>
      <c r="H10" s="24">
        <v>3500.0</v>
      </c>
      <c r="I10" s="24">
        <v>212850.0</v>
      </c>
      <c r="J10" s="24">
        <v>609300.0</v>
      </c>
      <c r="K10" s="24">
        <v>570290.0</v>
      </c>
      <c r="L10" s="24">
        <v>152922.0</v>
      </c>
      <c r="M10" s="24">
        <v>27100.0</v>
      </c>
      <c r="N10" s="25">
        <v>1625412.0</v>
      </c>
    </row>
    <row r="11" ht="15.0" customHeight="1">
      <c r="A11" s="23" t="s">
        <v>29</v>
      </c>
      <c r="B11" s="24">
        <v>4350.0</v>
      </c>
      <c r="C11" s="24">
        <v>165.0</v>
      </c>
      <c r="D11" s="24">
        <v>0.0</v>
      </c>
      <c r="E11" s="24">
        <v>0.0</v>
      </c>
      <c r="F11" s="24">
        <v>0.0</v>
      </c>
      <c r="G11" s="24">
        <v>510.0</v>
      </c>
      <c r="H11" s="24">
        <v>1390.0</v>
      </c>
      <c r="I11" s="24">
        <v>2580.0</v>
      </c>
      <c r="J11" s="24">
        <v>2600.0</v>
      </c>
      <c r="K11" s="24">
        <v>3420.0</v>
      </c>
      <c r="L11" s="24">
        <v>3100.0</v>
      </c>
      <c r="M11" s="24">
        <v>25300.0</v>
      </c>
      <c r="N11" s="25">
        <v>43415.0</v>
      </c>
    </row>
    <row r="12" ht="15.0" customHeight="1">
      <c r="A12" s="23" t="s">
        <v>30</v>
      </c>
      <c r="B12" s="24">
        <v>513265.0</v>
      </c>
      <c r="C12" s="24">
        <v>406435.0</v>
      </c>
      <c r="D12" s="24">
        <v>299675.0</v>
      </c>
      <c r="E12" s="24">
        <v>478025.0</v>
      </c>
      <c r="F12" s="24">
        <v>826105.0</v>
      </c>
      <c r="G12" s="24">
        <v>843935.0</v>
      </c>
      <c r="H12" s="24">
        <v>560315.0</v>
      </c>
      <c r="I12" s="24">
        <v>311215.0</v>
      </c>
      <c r="J12" s="24">
        <v>405580.0</v>
      </c>
      <c r="K12" s="24">
        <v>429590.0</v>
      </c>
      <c r="L12" s="24">
        <v>448920.0</v>
      </c>
      <c r="M12" s="24">
        <v>431795.0</v>
      </c>
      <c r="N12" s="25">
        <v>5954855.0</v>
      </c>
    </row>
    <row r="13" ht="15.0" customHeight="1">
      <c r="A13" s="23" t="s">
        <v>31</v>
      </c>
      <c r="B13" s="24">
        <v>465850.0</v>
      </c>
      <c r="C13" s="24">
        <v>794100.0</v>
      </c>
      <c r="D13" s="24">
        <v>918300.0</v>
      </c>
      <c r="E13" s="24">
        <v>475635.0</v>
      </c>
      <c r="F13" s="24">
        <v>611945.0</v>
      </c>
      <c r="G13" s="24">
        <v>458845.0</v>
      </c>
      <c r="H13" s="24">
        <v>169115.0</v>
      </c>
      <c r="I13" s="24">
        <v>234240.0</v>
      </c>
      <c r="J13" s="24">
        <v>166450.0</v>
      </c>
      <c r="K13" s="24">
        <v>93600.0</v>
      </c>
      <c r="L13" s="24">
        <v>70390.0</v>
      </c>
      <c r="M13" s="24">
        <v>329050.0</v>
      </c>
      <c r="N13" s="25">
        <v>4787520.0</v>
      </c>
    </row>
    <row r="14" ht="15.0" customHeight="1">
      <c r="A14" s="23" t="s">
        <v>32</v>
      </c>
      <c r="B14" s="24">
        <v>500.0</v>
      </c>
      <c r="C14" s="24">
        <v>11200.0</v>
      </c>
      <c r="D14" s="24">
        <v>9000.0</v>
      </c>
      <c r="E14" s="24">
        <v>11660.0</v>
      </c>
      <c r="F14" s="24">
        <v>25565.0</v>
      </c>
      <c r="G14" s="24">
        <v>8500.0</v>
      </c>
      <c r="H14" s="24">
        <v>30680.0</v>
      </c>
      <c r="I14" s="24">
        <v>34200.0</v>
      </c>
      <c r="J14" s="24">
        <v>6000.0</v>
      </c>
      <c r="K14" s="24">
        <v>4000.0</v>
      </c>
      <c r="L14" s="24">
        <v>3000.0</v>
      </c>
      <c r="M14" s="24">
        <v>8000.0</v>
      </c>
      <c r="N14" s="25">
        <v>152305.0</v>
      </c>
    </row>
    <row r="15" ht="15.0" customHeight="1">
      <c r="A15" s="23" t="s">
        <v>33</v>
      </c>
      <c r="B15" s="24">
        <v>456095.0</v>
      </c>
      <c r="C15" s="24">
        <v>629055.0</v>
      </c>
      <c r="D15" s="24">
        <v>407615.0</v>
      </c>
      <c r="E15" s="24">
        <v>532040.0</v>
      </c>
      <c r="F15" s="24">
        <v>529170.0</v>
      </c>
      <c r="G15" s="24">
        <v>233835.0</v>
      </c>
      <c r="H15" s="24">
        <v>89710.0</v>
      </c>
      <c r="I15" s="24">
        <v>101900.0</v>
      </c>
      <c r="J15" s="24">
        <v>57200.0</v>
      </c>
      <c r="K15" s="24">
        <v>17500.0</v>
      </c>
      <c r="L15" s="24">
        <v>16000.0</v>
      </c>
      <c r="M15" s="24">
        <v>139510.0</v>
      </c>
      <c r="N15" s="25">
        <v>3209630.0</v>
      </c>
    </row>
    <row r="16" ht="15.0" customHeight="1">
      <c r="A16" s="23" t="s">
        <v>34</v>
      </c>
      <c r="B16" s="24">
        <v>351070.0</v>
      </c>
      <c r="C16" s="24">
        <v>84575.0</v>
      </c>
      <c r="D16" s="24">
        <v>6000.0</v>
      </c>
      <c r="E16" s="24">
        <v>0.0</v>
      </c>
      <c r="F16" s="24">
        <v>0.0</v>
      </c>
      <c r="G16" s="24">
        <v>2000.0</v>
      </c>
      <c r="H16" s="24">
        <v>119090.0</v>
      </c>
      <c r="I16" s="24">
        <v>176730.0</v>
      </c>
      <c r="J16" s="24">
        <v>447480.0</v>
      </c>
      <c r="K16" s="24">
        <v>689730.0</v>
      </c>
      <c r="L16" s="24">
        <v>565255.0</v>
      </c>
      <c r="M16" s="24">
        <v>320145.0</v>
      </c>
      <c r="N16" s="25">
        <v>2762075.0</v>
      </c>
    </row>
    <row r="17" ht="15.0" customHeight="1">
      <c r="A17" s="23" t="s">
        <v>35</v>
      </c>
      <c r="B17" s="24">
        <v>481045.0</v>
      </c>
      <c r="C17" s="24">
        <v>720980.0</v>
      </c>
      <c r="D17" s="24">
        <v>302400.0</v>
      </c>
      <c r="E17" s="24">
        <v>123400.0</v>
      </c>
      <c r="F17" s="24">
        <v>356450.0</v>
      </c>
      <c r="G17" s="24">
        <v>346085.0</v>
      </c>
      <c r="H17" s="24">
        <v>269200.0</v>
      </c>
      <c r="I17" s="24">
        <v>319900.0</v>
      </c>
      <c r="J17" s="24">
        <v>309260.0</v>
      </c>
      <c r="K17" s="24">
        <v>236600.0</v>
      </c>
      <c r="L17" s="24">
        <v>298610.0</v>
      </c>
      <c r="M17" s="24">
        <v>538295.0</v>
      </c>
      <c r="N17" s="25">
        <v>4302225.0</v>
      </c>
    </row>
    <row r="18" ht="15.0" customHeight="1">
      <c r="A18" s="23" t="s">
        <v>36</v>
      </c>
      <c r="B18" s="24">
        <v>0.0</v>
      </c>
      <c r="C18" s="24">
        <v>500.0</v>
      </c>
      <c r="D18" s="24">
        <v>0.0</v>
      </c>
      <c r="E18" s="24">
        <v>0.0</v>
      </c>
      <c r="F18" s="24">
        <v>1310.0</v>
      </c>
      <c r="G18" s="24">
        <v>2470.0</v>
      </c>
      <c r="H18" s="24">
        <v>5425.0</v>
      </c>
      <c r="I18" s="24">
        <v>14110.0</v>
      </c>
      <c r="J18" s="24">
        <v>125250.0</v>
      </c>
      <c r="K18" s="24">
        <v>161750.0</v>
      </c>
      <c r="L18" s="24">
        <v>30400.0</v>
      </c>
      <c r="M18" s="24">
        <v>16500.0</v>
      </c>
      <c r="N18" s="25">
        <v>357715.0</v>
      </c>
    </row>
    <row r="19" ht="15.0" customHeight="1">
      <c r="A19" s="23" t="s">
        <v>37</v>
      </c>
      <c r="B19" s="24">
        <v>0.0</v>
      </c>
      <c r="C19" s="24">
        <v>200.0</v>
      </c>
      <c r="D19" s="24">
        <v>14310.0</v>
      </c>
      <c r="E19" s="24">
        <v>17600.0</v>
      </c>
      <c r="F19" s="24">
        <v>4000.0</v>
      </c>
      <c r="G19" s="24">
        <v>33640.0</v>
      </c>
      <c r="H19" s="24">
        <v>4000.0</v>
      </c>
      <c r="I19" s="24">
        <v>1000.0</v>
      </c>
      <c r="J19" s="24">
        <v>0.0</v>
      </c>
      <c r="K19" s="24">
        <v>0.0</v>
      </c>
      <c r="L19" s="24">
        <v>0.0</v>
      </c>
      <c r="M19" s="24">
        <v>0.0</v>
      </c>
      <c r="N19" s="25">
        <v>74750.0</v>
      </c>
    </row>
    <row r="20" ht="15.0" customHeight="1">
      <c r="A20" s="23" t="s">
        <v>38</v>
      </c>
      <c r="B20" s="24">
        <v>527375.0</v>
      </c>
      <c r="C20" s="24">
        <v>771790.0</v>
      </c>
      <c r="D20" s="24">
        <v>770800.0</v>
      </c>
      <c r="E20" s="24">
        <v>830850.0</v>
      </c>
      <c r="F20" s="24">
        <v>685050.0</v>
      </c>
      <c r="G20" s="24">
        <v>430300.0</v>
      </c>
      <c r="H20" s="24">
        <v>136410.0</v>
      </c>
      <c r="I20" s="24">
        <v>165600.0</v>
      </c>
      <c r="J20" s="24">
        <v>114980.0</v>
      </c>
      <c r="K20" s="24">
        <v>43500.0</v>
      </c>
      <c r="L20" s="24">
        <v>43200.0</v>
      </c>
      <c r="M20" s="24">
        <v>210900.0</v>
      </c>
      <c r="N20" s="25">
        <v>4730755.0</v>
      </c>
    </row>
    <row r="21" ht="15.0" customHeight="1">
      <c r="A21" s="23" t="s">
        <v>39</v>
      </c>
      <c r="B21" s="24">
        <v>421850.0</v>
      </c>
      <c r="C21" s="24">
        <v>1061000.0</v>
      </c>
      <c r="D21" s="24">
        <v>682650.0</v>
      </c>
      <c r="E21" s="24">
        <v>831050.0</v>
      </c>
      <c r="F21" s="24">
        <v>753430.0</v>
      </c>
      <c r="G21" s="24">
        <v>469480.0</v>
      </c>
      <c r="H21" s="24">
        <v>91300.0</v>
      </c>
      <c r="I21" s="24">
        <v>60040.0</v>
      </c>
      <c r="J21" s="24">
        <v>16825.0</v>
      </c>
      <c r="K21" s="24">
        <v>30000.0</v>
      </c>
      <c r="L21" s="24">
        <v>15350.0</v>
      </c>
      <c r="M21" s="24">
        <v>177670.0</v>
      </c>
      <c r="N21" s="25">
        <v>4610645.0</v>
      </c>
    </row>
    <row r="22" ht="15.0" customHeight="1">
      <c r="A22" s="23" t="s">
        <v>40</v>
      </c>
      <c r="B22" s="24">
        <v>342430.0</v>
      </c>
      <c r="C22" s="24">
        <v>299645.0</v>
      </c>
      <c r="D22" s="24">
        <v>499550.0</v>
      </c>
      <c r="E22" s="24">
        <v>519980.0</v>
      </c>
      <c r="F22" s="24">
        <v>395920.0</v>
      </c>
      <c r="G22" s="24">
        <v>283500.0</v>
      </c>
      <c r="H22" s="24">
        <v>93650.0</v>
      </c>
      <c r="I22" s="24">
        <v>67360.0</v>
      </c>
      <c r="J22" s="24">
        <v>9000.0</v>
      </c>
      <c r="K22" s="24">
        <v>3000.0</v>
      </c>
      <c r="L22" s="24">
        <v>4500.0</v>
      </c>
      <c r="M22" s="24">
        <v>82650.0</v>
      </c>
      <c r="N22" s="25">
        <v>2601185.0</v>
      </c>
    </row>
    <row r="23" ht="15.0" customHeight="1">
      <c r="A23" s="23" t="s">
        <v>41</v>
      </c>
      <c r="B23" s="24">
        <v>0.0</v>
      </c>
      <c r="C23" s="24">
        <v>69700.0</v>
      </c>
      <c r="D23" s="24">
        <v>116500.0</v>
      </c>
      <c r="E23" s="24">
        <v>238550.0</v>
      </c>
      <c r="F23" s="24">
        <v>163000.0</v>
      </c>
      <c r="G23" s="24">
        <v>65700.0</v>
      </c>
      <c r="H23" s="24">
        <v>4200.0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5">
        <v>657650.0</v>
      </c>
    </row>
    <row r="24" ht="15.0" customHeight="1">
      <c r="A24" s="23" t="s">
        <v>42</v>
      </c>
      <c r="B24" s="24">
        <v>80650.0</v>
      </c>
      <c r="C24" s="24">
        <v>566300.0</v>
      </c>
      <c r="D24" s="24">
        <v>750100.0</v>
      </c>
      <c r="E24" s="24">
        <v>756375.0</v>
      </c>
      <c r="F24" s="24">
        <v>495510.0</v>
      </c>
      <c r="G24" s="24">
        <v>226810.0</v>
      </c>
      <c r="H24" s="24">
        <v>14800.0</v>
      </c>
      <c r="I24" s="24">
        <v>120.0</v>
      </c>
      <c r="J24" s="24">
        <v>0.0</v>
      </c>
      <c r="K24" s="24">
        <v>0.0</v>
      </c>
      <c r="L24" s="24">
        <v>0.0</v>
      </c>
      <c r="M24" s="24">
        <v>5200.0</v>
      </c>
      <c r="N24" s="25">
        <v>2895865.0</v>
      </c>
    </row>
    <row r="25" ht="15.0" customHeight="1">
      <c r="A25" s="23" t="s">
        <v>43</v>
      </c>
      <c r="B25" s="24">
        <v>0.0</v>
      </c>
      <c r="C25" s="24">
        <v>0.0</v>
      </c>
      <c r="D25" s="24">
        <v>0.0</v>
      </c>
      <c r="E25" s="24">
        <v>0.0</v>
      </c>
      <c r="F25" s="24">
        <v>8175.0</v>
      </c>
      <c r="G25" s="24">
        <v>6.0</v>
      </c>
      <c r="H25" s="24">
        <v>0.0</v>
      </c>
      <c r="I25" s="24">
        <v>0.0</v>
      </c>
      <c r="J25" s="24">
        <v>0.0</v>
      </c>
      <c r="K25" s="24">
        <v>0.0</v>
      </c>
      <c r="L25" s="24">
        <v>0.0</v>
      </c>
      <c r="M25" s="24">
        <v>0.0</v>
      </c>
      <c r="N25" s="25">
        <v>8181.0</v>
      </c>
    </row>
    <row r="26" ht="15.0" customHeight="1">
      <c r="A26" s="23" t="s">
        <v>44</v>
      </c>
      <c r="B26" s="24">
        <v>79200.0</v>
      </c>
      <c r="C26" s="24">
        <v>132000.0</v>
      </c>
      <c r="D26" s="24">
        <v>181000.0</v>
      </c>
      <c r="E26" s="24">
        <v>208000.0</v>
      </c>
      <c r="F26" s="24">
        <v>169500.0</v>
      </c>
      <c r="G26" s="24">
        <v>162000.0</v>
      </c>
      <c r="H26" s="24">
        <v>34200.0</v>
      </c>
      <c r="I26" s="24">
        <v>152500.0</v>
      </c>
      <c r="J26" s="24">
        <v>121000.0</v>
      </c>
      <c r="K26" s="24">
        <v>49500.0</v>
      </c>
      <c r="L26" s="24">
        <v>106900.0</v>
      </c>
      <c r="M26" s="24">
        <v>244000.0</v>
      </c>
      <c r="N26" s="25">
        <v>1639800.0</v>
      </c>
    </row>
    <row r="27" ht="15.0" customHeight="1">
      <c r="A27" s="23" t="s">
        <v>45</v>
      </c>
      <c r="B27" s="24">
        <v>402150.0</v>
      </c>
      <c r="C27" s="24">
        <v>283029.0</v>
      </c>
      <c r="D27" s="24">
        <v>148960.0</v>
      </c>
      <c r="E27" s="24">
        <v>116250.0</v>
      </c>
      <c r="F27" s="24">
        <v>345625.0</v>
      </c>
      <c r="G27" s="24">
        <v>424455.0</v>
      </c>
      <c r="H27" s="24">
        <v>83040.0</v>
      </c>
      <c r="I27" s="24">
        <v>177230.0</v>
      </c>
      <c r="J27" s="24">
        <v>221450.0</v>
      </c>
      <c r="K27" s="24">
        <v>136050.0</v>
      </c>
      <c r="L27" s="24">
        <v>285200.0</v>
      </c>
      <c r="M27" s="24">
        <v>440850.0</v>
      </c>
      <c r="N27" s="25">
        <v>3064289.0</v>
      </c>
    </row>
    <row r="28" ht="15.0" customHeight="1">
      <c r="A28" s="23" t="s">
        <v>46</v>
      </c>
      <c r="B28" s="24">
        <v>2125.0</v>
      </c>
      <c r="C28" s="24">
        <v>1675.0</v>
      </c>
      <c r="D28" s="24">
        <v>840.0</v>
      </c>
      <c r="E28" s="24">
        <v>0.0</v>
      </c>
      <c r="F28" s="24">
        <v>0.0</v>
      </c>
      <c r="G28" s="24">
        <v>0.0</v>
      </c>
      <c r="H28" s="24">
        <v>120.0</v>
      </c>
      <c r="I28" s="24">
        <v>0.0</v>
      </c>
      <c r="J28" s="24">
        <v>1250.0</v>
      </c>
      <c r="K28" s="24">
        <v>0.0</v>
      </c>
      <c r="L28" s="24">
        <v>150.0</v>
      </c>
      <c r="M28" s="24">
        <v>1095.0</v>
      </c>
      <c r="N28" s="25">
        <v>7255.0</v>
      </c>
    </row>
    <row r="29" ht="15.0" customHeight="1">
      <c r="A29" s="23" t="s">
        <v>47</v>
      </c>
      <c r="B29" s="24">
        <v>306725.0</v>
      </c>
      <c r="C29" s="24">
        <v>387725.0</v>
      </c>
      <c r="D29" s="24">
        <v>479180.0</v>
      </c>
      <c r="E29" s="24">
        <v>383800.0</v>
      </c>
      <c r="F29" s="24">
        <v>186810.0</v>
      </c>
      <c r="G29" s="24">
        <v>69000.0</v>
      </c>
      <c r="H29" s="24">
        <v>17500.0</v>
      </c>
      <c r="I29" s="24">
        <v>24300.0</v>
      </c>
      <c r="J29" s="24">
        <v>2000.0</v>
      </c>
      <c r="K29" s="24">
        <v>9000.0</v>
      </c>
      <c r="L29" s="24">
        <v>47865.0</v>
      </c>
      <c r="M29" s="24">
        <v>209250.0</v>
      </c>
      <c r="N29" s="25">
        <v>2123155.0</v>
      </c>
    </row>
    <row r="30" ht="15.0" customHeight="1">
      <c r="A30" s="23" t="s">
        <v>48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147400.0</v>
      </c>
      <c r="J30" s="24">
        <v>54250.0</v>
      </c>
      <c r="K30" s="24">
        <v>0.0</v>
      </c>
      <c r="L30" s="24">
        <v>0.0</v>
      </c>
      <c r="M30" s="24">
        <v>3000.0</v>
      </c>
      <c r="N30" s="25">
        <v>204650.0</v>
      </c>
    </row>
    <row r="31" ht="15.0" customHeight="1">
      <c r="A31" s="23" t="s">
        <v>49</v>
      </c>
      <c r="B31" s="24">
        <v>6495.0</v>
      </c>
      <c r="C31" s="24">
        <v>0.0</v>
      </c>
      <c r="D31" s="24">
        <v>1000.0</v>
      </c>
      <c r="E31" s="24">
        <v>520.0</v>
      </c>
      <c r="F31" s="24">
        <v>500.0</v>
      </c>
      <c r="G31" s="24">
        <v>38250.0</v>
      </c>
      <c r="H31" s="24">
        <v>202470.0</v>
      </c>
      <c r="I31" s="24">
        <v>66400.0</v>
      </c>
      <c r="J31" s="24">
        <v>18000.0</v>
      </c>
      <c r="K31" s="24">
        <v>11500.0</v>
      </c>
      <c r="L31" s="24">
        <v>30630.0</v>
      </c>
      <c r="M31" s="24">
        <v>22000.0</v>
      </c>
      <c r="N31" s="25">
        <v>397765.0</v>
      </c>
    </row>
    <row r="32" ht="15.0" customHeight="1">
      <c r="A32" s="23" t="s">
        <v>50</v>
      </c>
      <c r="B32" s="24">
        <v>1000.0</v>
      </c>
      <c r="C32" s="24">
        <v>0.0</v>
      </c>
      <c r="D32" s="24">
        <v>500.0</v>
      </c>
      <c r="E32" s="24">
        <v>4250.0</v>
      </c>
      <c r="F32" s="24">
        <v>16125.0</v>
      </c>
      <c r="G32" s="24">
        <v>24255.0</v>
      </c>
      <c r="H32" s="24">
        <v>13230.0</v>
      </c>
      <c r="I32" s="24">
        <v>105055.0</v>
      </c>
      <c r="J32" s="24">
        <v>57100.0</v>
      </c>
      <c r="K32" s="24">
        <v>10000.0</v>
      </c>
      <c r="L32" s="24">
        <v>1950.0</v>
      </c>
      <c r="M32" s="24">
        <v>0.0</v>
      </c>
      <c r="N32" s="25">
        <v>233465.0</v>
      </c>
    </row>
    <row r="33" ht="15.0" customHeight="1">
      <c r="A33" s="23" t="s">
        <v>51</v>
      </c>
      <c r="B33" s="24">
        <v>0.0</v>
      </c>
      <c r="C33" s="24">
        <v>51025.0</v>
      </c>
      <c r="D33" s="24">
        <v>119000.0</v>
      </c>
      <c r="E33" s="24">
        <v>163650.0</v>
      </c>
      <c r="F33" s="24">
        <v>411395.0</v>
      </c>
      <c r="G33" s="24">
        <v>424895.0</v>
      </c>
      <c r="H33" s="24">
        <v>59175.0</v>
      </c>
      <c r="I33" s="24">
        <v>37610.0</v>
      </c>
      <c r="J33" s="24">
        <v>1550.0</v>
      </c>
      <c r="K33" s="24">
        <v>23500.0</v>
      </c>
      <c r="L33" s="24">
        <v>16000.0</v>
      </c>
      <c r="M33" s="24">
        <v>500.0</v>
      </c>
      <c r="N33" s="25">
        <v>1308300.0</v>
      </c>
    </row>
    <row r="34" ht="15.0" customHeight="1">
      <c r="A34" s="23" t="s">
        <v>52</v>
      </c>
      <c r="B34" s="24">
        <v>44722.0</v>
      </c>
      <c r="C34" s="24">
        <v>38870.0</v>
      </c>
      <c r="D34" s="24">
        <v>23800.0</v>
      </c>
      <c r="E34" s="24">
        <v>28750.0</v>
      </c>
      <c r="F34" s="24">
        <v>45750.0</v>
      </c>
      <c r="G34" s="24">
        <v>28350.0</v>
      </c>
      <c r="H34" s="24">
        <v>45360.0</v>
      </c>
      <c r="I34" s="24">
        <v>53000.0</v>
      </c>
      <c r="J34" s="24">
        <v>65450.0</v>
      </c>
      <c r="K34" s="24">
        <v>61800.0</v>
      </c>
      <c r="L34" s="24">
        <v>61600.0</v>
      </c>
      <c r="M34" s="24">
        <v>59400.0</v>
      </c>
      <c r="N34" s="25">
        <v>556852.0</v>
      </c>
    </row>
    <row r="35" ht="15.0" customHeight="1">
      <c r="A35" s="23" t="s">
        <v>54</v>
      </c>
      <c r="B35" s="24">
        <v>36400.0</v>
      </c>
      <c r="C35" s="24">
        <v>26950.0</v>
      </c>
      <c r="D35" s="24">
        <v>18800.0</v>
      </c>
      <c r="E35" s="24">
        <v>21200.0</v>
      </c>
      <c r="F35" s="24">
        <v>27330.0</v>
      </c>
      <c r="G35" s="24">
        <v>11800.0</v>
      </c>
      <c r="H35" s="24">
        <v>20770.0</v>
      </c>
      <c r="I35" s="24">
        <v>30200.0</v>
      </c>
      <c r="J35" s="24">
        <v>34260.0</v>
      </c>
      <c r="K35" s="24">
        <v>41700.0</v>
      </c>
      <c r="L35" s="24">
        <v>42400.0</v>
      </c>
      <c r="M35" s="24">
        <v>40600.0</v>
      </c>
      <c r="N35" s="25">
        <v>352410.0</v>
      </c>
    </row>
    <row r="36" ht="15.0" customHeight="1">
      <c r="A36" s="23" t="s">
        <v>55</v>
      </c>
      <c r="B36" s="24">
        <v>21800.0</v>
      </c>
      <c r="C36" s="24">
        <v>16455.0</v>
      </c>
      <c r="D36" s="24">
        <v>5275.0</v>
      </c>
      <c r="E36" s="24">
        <v>150.0</v>
      </c>
      <c r="F36" s="24">
        <v>1450.0</v>
      </c>
      <c r="G36" s="24">
        <v>2445.0</v>
      </c>
      <c r="H36" s="24">
        <v>3560.0</v>
      </c>
      <c r="I36" s="24">
        <v>6330.0</v>
      </c>
      <c r="J36" s="24">
        <v>14320.0</v>
      </c>
      <c r="K36" s="24">
        <v>13460.0</v>
      </c>
      <c r="L36" s="24">
        <v>24050.0</v>
      </c>
      <c r="M36" s="24">
        <v>32300.0</v>
      </c>
      <c r="N36" s="25">
        <v>141595.0</v>
      </c>
    </row>
    <row r="37" ht="15.0" customHeight="1">
      <c r="A37" s="23" t="s">
        <v>56</v>
      </c>
      <c r="B37" s="24">
        <v>35350.0</v>
      </c>
      <c r="C37" s="24">
        <v>32500.0</v>
      </c>
      <c r="D37" s="24">
        <v>13700.0</v>
      </c>
      <c r="E37" s="24">
        <v>15050.0</v>
      </c>
      <c r="F37" s="24">
        <v>35910.0</v>
      </c>
      <c r="G37" s="24">
        <v>21420.0</v>
      </c>
      <c r="H37" s="24">
        <v>16670.0</v>
      </c>
      <c r="I37" s="24">
        <v>18490.0</v>
      </c>
      <c r="J37" s="24">
        <v>13000.0</v>
      </c>
      <c r="K37" s="24">
        <v>15420.0</v>
      </c>
      <c r="L37" s="24">
        <v>26850.0</v>
      </c>
      <c r="M37" s="24">
        <v>31350.0</v>
      </c>
      <c r="N37" s="25">
        <v>275710.0</v>
      </c>
    </row>
    <row r="38" ht="15.0" customHeight="1">
      <c r="A38" s="23" t="s">
        <v>57</v>
      </c>
      <c r="B38" s="24">
        <v>15600.0</v>
      </c>
      <c r="C38" s="24">
        <v>15700.0</v>
      </c>
      <c r="D38" s="24">
        <v>2850.0</v>
      </c>
      <c r="E38" s="24">
        <v>0.0</v>
      </c>
      <c r="F38" s="24">
        <v>390.0</v>
      </c>
      <c r="G38" s="24">
        <v>2525.0</v>
      </c>
      <c r="H38" s="24">
        <v>2225.0</v>
      </c>
      <c r="I38" s="24">
        <v>4830.0</v>
      </c>
      <c r="J38" s="24">
        <v>7830.0</v>
      </c>
      <c r="K38" s="24">
        <v>11350.0</v>
      </c>
      <c r="L38" s="24">
        <v>20400.0</v>
      </c>
      <c r="M38" s="24">
        <v>24500.0</v>
      </c>
      <c r="N38" s="25">
        <v>108200.0</v>
      </c>
    </row>
    <row r="39" ht="15.0" customHeight="1">
      <c r="A39" s="23" t="s">
        <v>59</v>
      </c>
      <c r="B39" s="24">
        <v>273635.0</v>
      </c>
      <c r="C39" s="24">
        <v>86603.0</v>
      </c>
      <c r="D39" s="24">
        <v>18854.0</v>
      </c>
      <c r="E39" s="24">
        <v>12300.0</v>
      </c>
      <c r="F39" s="24">
        <v>16215.0</v>
      </c>
      <c r="G39" s="24">
        <v>10160.0</v>
      </c>
      <c r="H39" s="24">
        <v>22575.0</v>
      </c>
      <c r="I39" s="24">
        <v>62950.0</v>
      </c>
      <c r="J39" s="24">
        <v>81600.0</v>
      </c>
      <c r="K39" s="24">
        <v>88250.0</v>
      </c>
      <c r="L39" s="24">
        <v>107285.0</v>
      </c>
      <c r="M39" s="24">
        <v>213450.0</v>
      </c>
      <c r="N39" s="25">
        <v>993877.0</v>
      </c>
    </row>
    <row r="40" ht="15.0" customHeight="1">
      <c r="A40" s="23" t="s">
        <v>60</v>
      </c>
      <c r="B40" s="24">
        <v>27750.0</v>
      </c>
      <c r="C40" s="24">
        <v>0.0</v>
      </c>
      <c r="D40" s="24">
        <v>0.0</v>
      </c>
      <c r="E40" s="24">
        <v>0.0</v>
      </c>
      <c r="F40" s="24">
        <v>2000.0</v>
      </c>
      <c r="G40" s="24">
        <v>0.0</v>
      </c>
      <c r="H40" s="24">
        <v>150.0</v>
      </c>
      <c r="I40" s="24">
        <v>21950.0</v>
      </c>
      <c r="J40" s="24">
        <v>35200.0</v>
      </c>
      <c r="K40" s="24">
        <v>22050.0</v>
      </c>
      <c r="L40" s="24">
        <v>13625.0</v>
      </c>
      <c r="M40" s="24">
        <v>8000.0</v>
      </c>
      <c r="N40" s="25">
        <v>130725.0</v>
      </c>
    </row>
    <row r="41" ht="15.0" customHeight="1">
      <c r="A41" s="23" t="s">
        <v>61</v>
      </c>
      <c r="B41" s="24">
        <v>5000.0</v>
      </c>
      <c r="C41" s="24">
        <v>0.0</v>
      </c>
      <c r="D41" s="24">
        <v>5000.0</v>
      </c>
      <c r="E41" s="24">
        <v>0.0</v>
      </c>
      <c r="F41" s="24">
        <v>2000.0</v>
      </c>
      <c r="G41" s="24">
        <v>0.0</v>
      </c>
      <c r="H41" s="24">
        <v>25000.0</v>
      </c>
      <c r="I41" s="24">
        <v>198000.0</v>
      </c>
      <c r="J41" s="24">
        <v>916100.0</v>
      </c>
      <c r="K41" s="24">
        <v>84000.0</v>
      </c>
      <c r="L41" s="24">
        <v>35015.0</v>
      </c>
      <c r="M41" s="24">
        <v>0.0</v>
      </c>
      <c r="N41" s="25">
        <v>1270115.0</v>
      </c>
    </row>
    <row r="42" ht="15.0" customHeight="1">
      <c r="A42" s="23" t="s">
        <v>62</v>
      </c>
      <c r="B42" s="24">
        <v>51810.0</v>
      </c>
      <c r="C42" s="24">
        <v>22700.0</v>
      </c>
      <c r="D42" s="24">
        <v>27320.0</v>
      </c>
      <c r="E42" s="24">
        <v>23600.0</v>
      </c>
      <c r="F42" s="24">
        <v>9855.0</v>
      </c>
      <c r="G42" s="24">
        <v>35075.0</v>
      </c>
      <c r="H42" s="24">
        <v>72310.0</v>
      </c>
      <c r="I42" s="24">
        <v>54400.0</v>
      </c>
      <c r="J42" s="24">
        <v>39000.0</v>
      </c>
      <c r="K42" s="24">
        <v>65100.0</v>
      </c>
      <c r="L42" s="24">
        <v>68600.0</v>
      </c>
      <c r="M42" s="24">
        <v>79320.0</v>
      </c>
      <c r="N42" s="25">
        <v>549090.0</v>
      </c>
    </row>
    <row r="43" ht="15.0" customHeight="1">
      <c r="A43" s="23" t="s">
        <v>63</v>
      </c>
      <c r="B43" s="24">
        <v>4494.0</v>
      </c>
      <c r="C43" s="24">
        <v>6525.0</v>
      </c>
      <c r="D43" s="24">
        <v>14535.0</v>
      </c>
      <c r="E43" s="24">
        <v>8220.0</v>
      </c>
      <c r="F43" s="24">
        <v>2690.0</v>
      </c>
      <c r="G43" s="24">
        <v>298.0</v>
      </c>
      <c r="H43" s="24">
        <v>300.0</v>
      </c>
      <c r="I43" s="24">
        <v>35.0</v>
      </c>
      <c r="J43" s="24">
        <v>0.0</v>
      </c>
      <c r="K43" s="24">
        <v>0.0</v>
      </c>
      <c r="L43" s="24">
        <v>1060.0</v>
      </c>
      <c r="M43" s="24">
        <v>2840.0</v>
      </c>
      <c r="N43" s="25">
        <v>40997.0</v>
      </c>
    </row>
    <row r="44" ht="15.0" customHeight="1">
      <c r="A44" s="23" t="s">
        <v>53</v>
      </c>
      <c r="B44" s="24">
        <v>0.0</v>
      </c>
      <c r="C44" s="24">
        <v>2490.0</v>
      </c>
      <c r="D44" s="24">
        <v>10000.0</v>
      </c>
      <c r="E44" s="24">
        <v>14460.0</v>
      </c>
      <c r="F44" s="24">
        <v>14500.0</v>
      </c>
      <c r="G44" s="24">
        <v>300.0</v>
      </c>
      <c r="H44" s="24">
        <v>0.0</v>
      </c>
      <c r="I44" s="24">
        <v>0.0</v>
      </c>
      <c r="J44" s="24">
        <v>0.0</v>
      </c>
      <c r="K44" s="24">
        <v>0.0</v>
      </c>
      <c r="L44" s="24">
        <v>0.0</v>
      </c>
      <c r="M44" s="24">
        <v>0.0</v>
      </c>
      <c r="N44" s="25">
        <v>41750.0</v>
      </c>
    </row>
    <row r="45" ht="15.0" customHeight="1">
      <c r="A45" s="23" t="s">
        <v>64</v>
      </c>
      <c r="B45" s="24">
        <v>43275.0</v>
      </c>
      <c r="C45" s="24">
        <v>16320.0</v>
      </c>
      <c r="D45" s="24">
        <v>7550.0</v>
      </c>
      <c r="E45" s="24">
        <v>1070.0</v>
      </c>
      <c r="F45" s="24">
        <v>1005.0</v>
      </c>
      <c r="G45" s="24">
        <v>243.0</v>
      </c>
      <c r="H45" s="24">
        <v>2210.0</v>
      </c>
      <c r="I45" s="24">
        <v>9465.0</v>
      </c>
      <c r="J45" s="24">
        <v>39475.0</v>
      </c>
      <c r="K45" s="24">
        <v>74815.0</v>
      </c>
      <c r="L45" s="24">
        <v>99467.0</v>
      </c>
      <c r="M45" s="24">
        <v>41395.0</v>
      </c>
      <c r="N45" s="25">
        <v>336290.0</v>
      </c>
    </row>
    <row r="46" ht="15.0" customHeight="1">
      <c r="A46" s="23" t="s">
        <v>65</v>
      </c>
      <c r="B46" s="24">
        <v>1795.0</v>
      </c>
      <c r="C46" s="24">
        <v>1730.0</v>
      </c>
      <c r="D46" s="24">
        <v>5150.0</v>
      </c>
      <c r="E46" s="24">
        <v>5030.0</v>
      </c>
      <c r="F46" s="24">
        <v>3515.0</v>
      </c>
      <c r="G46" s="24">
        <v>1322.0</v>
      </c>
      <c r="H46" s="24">
        <v>228.0</v>
      </c>
      <c r="I46" s="24">
        <v>303.0</v>
      </c>
      <c r="J46" s="24">
        <v>445.0</v>
      </c>
      <c r="K46" s="24">
        <v>395.0</v>
      </c>
      <c r="L46" s="24">
        <v>710.0</v>
      </c>
      <c r="M46" s="24">
        <v>610.0</v>
      </c>
      <c r="N46" s="25">
        <v>21233.0</v>
      </c>
    </row>
    <row r="47" ht="15.0" customHeight="1">
      <c r="A47" s="23" t="s">
        <v>66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4">
        <v>0.0</v>
      </c>
      <c r="L47" s="24">
        <v>0.0</v>
      </c>
      <c r="M47" s="24">
        <v>14825.0</v>
      </c>
      <c r="N47" s="25">
        <v>14825.0</v>
      </c>
    </row>
    <row r="48" ht="15.0" customHeight="1">
      <c r="A48" s="23" t="s">
        <v>67</v>
      </c>
      <c r="B48" s="24">
        <v>2800.0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4">
        <v>0.0</v>
      </c>
      <c r="L48" s="24">
        <v>3000.0</v>
      </c>
      <c r="M48" s="24">
        <v>91600.0</v>
      </c>
      <c r="N48" s="25">
        <v>97400.0</v>
      </c>
    </row>
    <row r="49" ht="15.0" customHeight="1">
      <c r="A49" s="23" t="s">
        <v>68</v>
      </c>
      <c r="B49" s="24">
        <v>3635.0</v>
      </c>
      <c r="C49" s="24">
        <v>1275.0</v>
      </c>
      <c r="D49" s="24">
        <v>1821.0</v>
      </c>
      <c r="E49" s="24">
        <v>2585.0</v>
      </c>
      <c r="F49" s="24">
        <v>1070.0</v>
      </c>
      <c r="G49" s="24">
        <v>218.0</v>
      </c>
      <c r="H49" s="24">
        <v>282.0</v>
      </c>
      <c r="I49" s="24">
        <v>565.0</v>
      </c>
      <c r="J49" s="24">
        <v>380.0</v>
      </c>
      <c r="K49" s="24">
        <v>360.0</v>
      </c>
      <c r="L49" s="24">
        <v>630.0</v>
      </c>
      <c r="M49" s="24">
        <v>345.0</v>
      </c>
      <c r="N49" s="25">
        <v>13166.0</v>
      </c>
    </row>
    <row r="50" ht="15.0" customHeight="1">
      <c r="A50" s="23" t="s">
        <v>69</v>
      </c>
      <c r="B50" s="24">
        <v>7100.0</v>
      </c>
      <c r="C50" s="24">
        <v>3220.0</v>
      </c>
      <c r="D50" s="24">
        <v>2205.0</v>
      </c>
      <c r="E50" s="24">
        <v>2990.0</v>
      </c>
      <c r="F50" s="24">
        <v>3725.0</v>
      </c>
      <c r="G50" s="24">
        <v>2130.0</v>
      </c>
      <c r="H50" s="24">
        <v>4410.0</v>
      </c>
      <c r="I50" s="24">
        <v>7630.0</v>
      </c>
      <c r="J50" s="24">
        <v>6565.0</v>
      </c>
      <c r="K50" s="24">
        <v>11200.0</v>
      </c>
      <c r="L50" s="24">
        <v>10900.0</v>
      </c>
      <c r="M50" s="24">
        <v>6425.0</v>
      </c>
      <c r="N50" s="25">
        <v>68500.0</v>
      </c>
    </row>
    <row r="51" ht="15.0" customHeight="1">
      <c r="A51" s="23" t="s">
        <v>70</v>
      </c>
      <c r="B51" s="24">
        <v>6070.0</v>
      </c>
      <c r="C51" s="24">
        <v>1935.0</v>
      </c>
      <c r="D51" s="24">
        <v>190.0</v>
      </c>
      <c r="E51" s="24">
        <v>0.0</v>
      </c>
      <c r="F51" s="24">
        <v>0.0</v>
      </c>
      <c r="G51" s="24">
        <v>0.0</v>
      </c>
      <c r="H51" s="24">
        <v>0.0</v>
      </c>
      <c r="I51" s="24">
        <v>60.0</v>
      </c>
      <c r="J51" s="24">
        <v>595.0</v>
      </c>
      <c r="K51" s="24">
        <v>342.0</v>
      </c>
      <c r="L51" s="24">
        <v>377.0</v>
      </c>
      <c r="M51" s="24">
        <v>1010.0</v>
      </c>
      <c r="N51" s="25">
        <v>10579.0</v>
      </c>
    </row>
    <row r="52" ht="15.0" customHeight="1">
      <c r="A52" s="23" t="s">
        <v>71</v>
      </c>
      <c r="B52" s="24">
        <v>1820.0</v>
      </c>
      <c r="C52" s="24">
        <v>1010.0</v>
      </c>
      <c r="D52" s="24">
        <v>1400.0</v>
      </c>
      <c r="E52" s="24">
        <v>1055.0</v>
      </c>
      <c r="F52" s="24">
        <v>1030.0</v>
      </c>
      <c r="G52" s="24">
        <v>338.0</v>
      </c>
      <c r="H52" s="24">
        <v>321.0</v>
      </c>
      <c r="I52" s="24">
        <v>568.0</v>
      </c>
      <c r="J52" s="24">
        <v>632.0</v>
      </c>
      <c r="K52" s="24">
        <v>366.0</v>
      </c>
      <c r="L52" s="24">
        <v>349.0</v>
      </c>
      <c r="M52" s="24">
        <v>343.0</v>
      </c>
      <c r="N52" s="25">
        <v>9232.0</v>
      </c>
    </row>
    <row r="53" ht="15.0" customHeight="1">
      <c r="A53" s="23" t="s">
        <v>72</v>
      </c>
      <c r="B53" s="24">
        <v>285.0</v>
      </c>
      <c r="C53" s="24">
        <v>140.0</v>
      </c>
      <c r="D53" s="24">
        <v>165.0</v>
      </c>
      <c r="E53" s="24">
        <v>65.0</v>
      </c>
      <c r="F53" s="24">
        <v>1070.0</v>
      </c>
      <c r="G53" s="24">
        <v>2012.0</v>
      </c>
      <c r="H53" s="24">
        <v>42.0</v>
      </c>
      <c r="I53" s="24">
        <v>131.0</v>
      </c>
      <c r="J53" s="24">
        <v>200.0</v>
      </c>
      <c r="K53" s="24">
        <v>145.0</v>
      </c>
      <c r="L53" s="24">
        <v>133.0</v>
      </c>
      <c r="M53" s="24">
        <v>5143.0</v>
      </c>
      <c r="N53" s="25">
        <v>9531.0</v>
      </c>
    </row>
    <row r="54" ht="15.0" customHeight="1">
      <c r="A54" s="23" t="s">
        <v>74</v>
      </c>
      <c r="B54" s="24">
        <v>21610.0</v>
      </c>
      <c r="C54" s="24">
        <v>14940.0</v>
      </c>
      <c r="D54" s="24">
        <v>4650.0</v>
      </c>
      <c r="E54" s="24">
        <v>1280.0</v>
      </c>
      <c r="F54" s="24">
        <v>1300.0</v>
      </c>
      <c r="G54" s="24">
        <v>1200.0</v>
      </c>
      <c r="H54" s="24">
        <v>1635.0</v>
      </c>
      <c r="I54" s="24">
        <v>6820.0</v>
      </c>
      <c r="J54" s="24">
        <v>8440.0</v>
      </c>
      <c r="K54" s="24">
        <v>10300.0</v>
      </c>
      <c r="L54" s="24">
        <v>10400.0</v>
      </c>
      <c r="M54" s="24">
        <v>10950.0</v>
      </c>
      <c r="N54" s="25">
        <v>93525.0</v>
      </c>
    </row>
    <row r="55" ht="15.0" customHeight="1">
      <c r="A55" s="23" t="s">
        <v>75</v>
      </c>
      <c r="B55" s="24">
        <v>450.0</v>
      </c>
      <c r="C55" s="24">
        <v>1330.0</v>
      </c>
      <c r="D55" s="24">
        <v>630.0</v>
      </c>
      <c r="E55" s="24">
        <v>665.0</v>
      </c>
      <c r="F55" s="24">
        <v>475.0</v>
      </c>
      <c r="G55" s="24">
        <v>96.0</v>
      </c>
      <c r="H55" s="24">
        <v>162.0</v>
      </c>
      <c r="I55" s="24">
        <v>150.0</v>
      </c>
      <c r="J55" s="24">
        <v>5240.0</v>
      </c>
      <c r="K55" s="24">
        <v>182.0</v>
      </c>
      <c r="L55" s="24">
        <v>165.0</v>
      </c>
      <c r="M55" s="24">
        <v>320.0</v>
      </c>
      <c r="N55" s="25">
        <v>9865.0</v>
      </c>
    </row>
    <row r="56" ht="15.0" customHeight="1">
      <c r="A56" s="23" t="s">
        <v>76</v>
      </c>
      <c r="B56" s="24">
        <v>4330.0</v>
      </c>
      <c r="C56" s="24">
        <v>10890.0</v>
      </c>
      <c r="D56" s="24">
        <v>2820.0</v>
      </c>
      <c r="E56" s="24">
        <v>0.0</v>
      </c>
      <c r="F56" s="24">
        <v>1295.0</v>
      </c>
      <c r="G56" s="24">
        <v>4941.0</v>
      </c>
      <c r="H56" s="24">
        <v>6690.0</v>
      </c>
      <c r="I56" s="24">
        <v>13765.0</v>
      </c>
      <c r="J56" s="24">
        <v>13290.0</v>
      </c>
      <c r="K56" s="24">
        <v>18400.0</v>
      </c>
      <c r="L56" s="24">
        <v>12200.0</v>
      </c>
      <c r="M56" s="24">
        <v>6080.0</v>
      </c>
      <c r="N56" s="25">
        <v>94701.0</v>
      </c>
    </row>
    <row r="57" ht="15.0" customHeight="1">
      <c r="A57" s="23" t="s">
        <v>77</v>
      </c>
      <c r="B57" s="24">
        <v>0.0</v>
      </c>
      <c r="C57" s="24">
        <v>0.0</v>
      </c>
      <c r="D57" s="24">
        <v>1000.0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4">
        <v>0.0</v>
      </c>
      <c r="L57" s="24">
        <v>0.0</v>
      </c>
      <c r="M57" s="24">
        <v>0.0</v>
      </c>
      <c r="N57" s="25">
        <v>1000.0</v>
      </c>
    </row>
    <row r="58" ht="15.0" customHeight="1">
      <c r="A58" s="23" t="s">
        <v>78</v>
      </c>
      <c r="B58" s="24">
        <v>10000.0</v>
      </c>
      <c r="C58" s="24">
        <v>18000.0</v>
      </c>
      <c r="D58" s="24">
        <v>0.0</v>
      </c>
      <c r="E58" s="24">
        <v>0.0</v>
      </c>
      <c r="F58" s="24">
        <v>0.0</v>
      </c>
      <c r="G58" s="24">
        <v>2700.0</v>
      </c>
      <c r="H58" s="24">
        <v>18000.0</v>
      </c>
      <c r="I58" s="24">
        <v>0.0</v>
      </c>
      <c r="J58" s="24">
        <v>6000.0</v>
      </c>
      <c r="K58" s="24">
        <v>0.0</v>
      </c>
      <c r="L58" s="24">
        <v>0.0</v>
      </c>
      <c r="M58" s="24">
        <v>0.0</v>
      </c>
      <c r="N58" s="25">
        <v>54700.0</v>
      </c>
    </row>
    <row r="59" ht="15.0" customHeight="1">
      <c r="A59" s="23" t="s">
        <v>79</v>
      </c>
      <c r="B59" s="24">
        <v>0.0</v>
      </c>
      <c r="C59" s="24">
        <v>0.0</v>
      </c>
      <c r="D59" s="24">
        <v>10080.0</v>
      </c>
      <c r="E59" s="24">
        <v>8960.0</v>
      </c>
      <c r="F59" s="24">
        <v>13000.0</v>
      </c>
      <c r="G59" s="24">
        <v>2000.0</v>
      </c>
      <c r="H59" s="24">
        <v>0.0</v>
      </c>
      <c r="I59" s="24">
        <v>600.0</v>
      </c>
      <c r="J59" s="24">
        <v>0.0</v>
      </c>
      <c r="K59" s="24">
        <v>0.0</v>
      </c>
      <c r="L59" s="24">
        <v>0.0</v>
      </c>
      <c r="M59" s="24">
        <v>0.0</v>
      </c>
      <c r="N59" s="25">
        <v>34640.0</v>
      </c>
    </row>
    <row r="60" ht="15.0" customHeight="1">
      <c r="A60" s="23" t="s">
        <v>80</v>
      </c>
      <c r="B60" s="24">
        <v>7880.0</v>
      </c>
      <c r="C60" s="24">
        <v>7290.0</v>
      </c>
      <c r="D60" s="24">
        <v>8725.0</v>
      </c>
      <c r="E60" s="24">
        <v>8550.0</v>
      </c>
      <c r="F60" s="24">
        <v>7165.0</v>
      </c>
      <c r="G60" s="24">
        <v>4750.0</v>
      </c>
      <c r="H60" s="24">
        <v>3360.0</v>
      </c>
      <c r="I60" s="24">
        <v>3760.0</v>
      </c>
      <c r="J60" s="24">
        <v>3020.0</v>
      </c>
      <c r="K60" s="24">
        <v>3710.0</v>
      </c>
      <c r="L60" s="24">
        <v>3270.0</v>
      </c>
      <c r="M60" s="24">
        <v>3905.0</v>
      </c>
      <c r="N60" s="25">
        <v>65385.0</v>
      </c>
    </row>
    <row r="61" ht="15.0" customHeight="1">
      <c r="A61" s="27" t="s">
        <v>82</v>
      </c>
      <c r="B61" s="28">
        <v>119760.0</v>
      </c>
      <c r="C61" s="28">
        <v>79290.0</v>
      </c>
      <c r="D61" s="28">
        <v>100750.0</v>
      </c>
      <c r="E61" s="28">
        <v>61450.0</v>
      </c>
      <c r="F61" s="28">
        <v>101630.0</v>
      </c>
      <c r="G61" s="28">
        <v>187512.0</v>
      </c>
      <c r="H61" s="28">
        <v>169250.0</v>
      </c>
      <c r="I61" s="28">
        <v>230025.0</v>
      </c>
      <c r="J61" s="28">
        <v>335205.0</v>
      </c>
      <c r="K61" s="28">
        <v>287885.0</v>
      </c>
      <c r="L61" s="28">
        <v>351475.0</v>
      </c>
      <c r="M61" s="28">
        <v>272555.0</v>
      </c>
      <c r="N61" s="29">
        <v>2296787.0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15.0" customHeight="1">
      <c r="A62" s="23" t="s">
        <v>83</v>
      </c>
      <c r="B62" s="24">
        <v>76525.0</v>
      </c>
      <c r="C62" s="24">
        <v>75700.0</v>
      </c>
      <c r="D62" s="24">
        <v>39690.0</v>
      </c>
      <c r="E62" s="24">
        <v>52545.0</v>
      </c>
      <c r="F62" s="24">
        <v>80125.0</v>
      </c>
      <c r="G62" s="24">
        <v>81114.0</v>
      </c>
      <c r="H62" s="24">
        <v>20700.0</v>
      </c>
      <c r="I62" s="24">
        <v>22950.0</v>
      </c>
      <c r="J62" s="24">
        <v>23020.0</v>
      </c>
      <c r="K62" s="24">
        <v>20180.0</v>
      </c>
      <c r="L62" s="24">
        <v>25470.0</v>
      </c>
      <c r="M62" s="24">
        <v>58540.0</v>
      </c>
      <c r="N62" s="25">
        <v>576559.0</v>
      </c>
    </row>
    <row r="63" ht="15.0" customHeight="1">
      <c r="A63" s="23" t="s">
        <v>85</v>
      </c>
      <c r="B63" s="24">
        <v>155050.0</v>
      </c>
      <c r="C63" s="24">
        <v>159870.0</v>
      </c>
      <c r="D63" s="24">
        <v>196885.0</v>
      </c>
      <c r="E63" s="24">
        <v>149270.0</v>
      </c>
      <c r="F63" s="24">
        <v>176020.0</v>
      </c>
      <c r="G63" s="24">
        <v>171715.0</v>
      </c>
      <c r="H63" s="24">
        <v>111000.0</v>
      </c>
      <c r="I63" s="24">
        <v>118675.0</v>
      </c>
      <c r="J63" s="24">
        <v>116000.0</v>
      </c>
      <c r="K63" s="24">
        <v>96000.0</v>
      </c>
      <c r="L63" s="24">
        <v>179785.0</v>
      </c>
      <c r="M63" s="24">
        <v>223700.0</v>
      </c>
      <c r="N63" s="25">
        <v>1853970.0</v>
      </c>
    </row>
    <row r="64" ht="15.0" customHeight="1">
      <c r="A64" s="23" t="s">
        <v>87</v>
      </c>
      <c r="B64" s="24">
        <v>7136.0</v>
      </c>
      <c r="C64" s="24">
        <v>11680.0</v>
      </c>
      <c r="D64" s="24">
        <v>14765.0</v>
      </c>
      <c r="E64" s="24">
        <v>16536.0</v>
      </c>
      <c r="F64" s="24">
        <v>17460.0</v>
      </c>
      <c r="G64" s="24">
        <v>17536.0</v>
      </c>
      <c r="H64" s="24">
        <v>3320.0</v>
      </c>
      <c r="I64" s="24">
        <v>5340.0</v>
      </c>
      <c r="J64" s="24">
        <v>7865.0</v>
      </c>
      <c r="K64" s="24">
        <v>6397.0</v>
      </c>
      <c r="L64" s="24">
        <v>9220.0</v>
      </c>
      <c r="M64" s="24">
        <v>13080.0</v>
      </c>
      <c r="N64" s="25">
        <v>130335.0</v>
      </c>
    </row>
    <row r="65" ht="15.0" customHeight="1">
      <c r="A65" s="23" t="s">
        <v>88</v>
      </c>
      <c r="B65" s="24">
        <v>31000.0</v>
      </c>
      <c r="C65" s="24">
        <v>496593.0</v>
      </c>
      <c r="D65" s="24">
        <v>1526345.0</v>
      </c>
      <c r="E65" s="24">
        <v>742610.0</v>
      </c>
      <c r="F65" s="24">
        <v>16690.0</v>
      </c>
      <c r="G65" s="24">
        <v>80.0</v>
      </c>
      <c r="H65" s="24">
        <v>0.0</v>
      </c>
      <c r="I65" s="24">
        <v>0.0</v>
      </c>
      <c r="J65" s="24">
        <v>245.0</v>
      </c>
      <c r="K65" s="24">
        <v>0.0</v>
      </c>
      <c r="L65" s="24">
        <v>350.0</v>
      </c>
      <c r="M65" s="24">
        <v>7010.0</v>
      </c>
      <c r="N65" s="25">
        <v>2820923.0</v>
      </c>
    </row>
    <row r="66" ht="15.0" customHeight="1">
      <c r="A66" s="23" t="s">
        <v>89</v>
      </c>
      <c r="B66" s="24">
        <v>22860.0</v>
      </c>
      <c r="C66" s="24">
        <v>2690.0</v>
      </c>
      <c r="D66" s="24">
        <v>610.0</v>
      </c>
      <c r="E66" s="24">
        <v>350.0</v>
      </c>
      <c r="F66" s="24">
        <v>14.0</v>
      </c>
      <c r="G66" s="24">
        <v>70.0</v>
      </c>
      <c r="H66" s="24">
        <v>560.0</v>
      </c>
      <c r="I66" s="24">
        <v>795.0</v>
      </c>
      <c r="J66" s="24">
        <v>7415.0</v>
      </c>
      <c r="K66" s="24">
        <v>20810.0</v>
      </c>
      <c r="L66" s="24">
        <v>41545.0</v>
      </c>
      <c r="M66" s="24">
        <v>60090.0</v>
      </c>
      <c r="N66" s="25">
        <v>157809.0</v>
      </c>
    </row>
    <row r="67" ht="15.0" customHeight="1">
      <c r="A67" s="23" t="s">
        <v>90</v>
      </c>
      <c r="B67" s="24">
        <v>59030.0</v>
      </c>
      <c r="C67" s="24">
        <v>7200.0</v>
      </c>
      <c r="D67" s="24">
        <v>0.0</v>
      </c>
      <c r="E67" s="24">
        <v>0.0</v>
      </c>
      <c r="F67" s="24">
        <v>0.0</v>
      </c>
      <c r="G67" s="24">
        <v>34820.0</v>
      </c>
      <c r="H67" s="24">
        <v>1141125.0</v>
      </c>
      <c r="I67" s="24">
        <v>2477500.0</v>
      </c>
      <c r="J67" s="24">
        <v>3602442.0</v>
      </c>
      <c r="K67" s="24">
        <v>2766380.0</v>
      </c>
      <c r="L67" s="24">
        <v>1196910.0</v>
      </c>
      <c r="M67" s="24">
        <v>574810.0</v>
      </c>
      <c r="N67" s="25">
        <v>1.1860217E7</v>
      </c>
    </row>
    <row r="68" ht="15.0" customHeight="1">
      <c r="A68" s="23" t="s">
        <v>91</v>
      </c>
      <c r="B68" s="24">
        <v>1701100.0</v>
      </c>
      <c r="C68" s="24">
        <v>1728150.0</v>
      </c>
      <c r="D68" s="24">
        <v>202200.0</v>
      </c>
      <c r="E68" s="24">
        <v>45200.0</v>
      </c>
      <c r="F68" s="24">
        <v>44040.0</v>
      </c>
      <c r="G68" s="24">
        <v>41120.0</v>
      </c>
      <c r="H68" s="24">
        <v>10620.0</v>
      </c>
      <c r="I68" s="24">
        <v>9070.0</v>
      </c>
      <c r="J68" s="24">
        <v>5532.0</v>
      </c>
      <c r="K68" s="24">
        <v>6795.0</v>
      </c>
      <c r="L68" s="24">
        <v>28980.0</v>
      </c>
      <c r="M68" s="24">
        <v>530700.0</v>
      </c>
      <c r="N68" s="25">
        <v>4353507.0</v>
      </c>
    </row>
    <row r="69" ht="15.0" customHeight="1">
      <c r="A69" s="23" t="s">
        <v>92</v>
      </c>
      <c r="B69" s="24">
        <v>62520.0</v>
      </c>
      <c r="C69" s="24">
        <v>32635.0</v>
      </c>
      <c r="D69" s="24">
        <v>20810.0</v>
      </c>
      <c r="E69" s="24">
        <v>23530.0</v>
      </c>
      <c r="F69" s="24">
        <v>24970.0</v>
      </c>
      <c r="G69" s="24">
        <v>68945.0</v>
      </c>
      <c r="H69" s="24">
        <v>203010.0</v>
      </c>
      <c r="I69" s="24">
        <v>7585.0</v>
      </c>
      <c r="J69" s="24">
        <v>5075.0</v>
      </c>
      <c r="K69" s="24">
        <v>4160.0</v>
      </c>
      <c r="L69" s="24">
        <v>7370.0</v>
      </c>
      <c r="M69" s="24">
        <v>14560.0</v>
      </c>
      <c r="N69" s="25">
        <v>475170.0</v>
      </c>
    </row>
    <row r="70" ht="15.0" customHeight="1">
      <c r="A70" s="23" t="s">
        <v>93</v>
      </c>
      <c r="B70" s="24">
        <v>0.0</v>
      </c>
      <c r="C70" s="24">
        <v>24100.0</v>
      </c>
      <c r="D70" s="24">
        <v>110.0</v>
      </c>
      <c r="E70" s="24">
        <v>0.0</v>
      </c>
      <c r="F70" s="24">
        <v>60.0</v>
      </c>
      <c r="G70" s="24">
        <v>560.0</v>
      </c>
      <c r="H70" s="24">
        <v>5700.0</v>
      </c>
      <c r="I70" s="24">
        <v>80.0</v>
      </c>
      <c r="J70" s="24">
        <v>300.0</v>
      </c>
      <c r="K70" s="24">
        <v>100.0</v>
      </c>
      <c r="L70" s="24">
        <v>0.0</v>
      </c>
      <c r="M70" s="24">
        <v>0.0</v>
      </c>
      <c r="N70" s="25">
        <v>31010.0</v>
      </c>
    </row>
    <row r="71" ht="15.0" customHeight="1">
      <c r="A71" s="23" t="s">
        <v>94</v>
      </c>
      <c r="B71" s="24">
        <v>25145.0</v>
      </c>
      <c r="C71" s="24">
        <v>16005.0</v>
      </c>
      <c r="D71" s="24">
        <v>34740.0</v>
      </c>
      <c r="E71" s="24">
        <v>49320.0</v>
      </c>
      <c r="F71" s="24">
        <v>24070.0</v>
      </c>
      <c r="G71" s="24">
        <v>16265.0</v>
      </c>
      <c r="H71" s="24">
        <v>3010.0</v>
      </c>
      <c r="I71" s="24">
        <v>2490.0</v>
      </c>
      <c r="J71" s="24">
        <v>3610.0</v>
      </c>
      <c r="K71" s="24">
        <v>2900.0</v>
      </c>
      <c r="L71" s="24">
        <v>4990.0</v>
      </c>
      <c r="M71" s="24">
        <v>8180.0</v>
      </c>
      <c r="N71" s="25">
        <v>190725.0</v>
      </c>
    </row>
    <row r="72" ht="15.0" customHeight="1">
      <c r="A72" s="23" t="s">
        <v>96</v>
      </c>
      <c r="B72" s="24">
        <v>736485.0</v>
      </c>
      <c r="C72" s="24">
        <v>1462265.0</v>
      </c>
      <c r="D72" s="24">
        <v>859440.0</v>
      </c>
      <c r="E72" s="24">
        <v>786090.0</v>
      </c>
      <c r="F72" s="24">
        <v>1088270.0</v>
      </c>
      <c r="G72" s="24">
        <v>852115.0</v>
      </c>
      <c r="H72" s="24">
        <v>230320.0</v>
      </c>
      <c r="I72" s="24">
        <v>150220.0</v>
      </c>
      <c r="J72" s="24">
        <v>112500.0</v>
      </c>
      <c r="K72" s="24">
        <v>146700.0</v>
      </c>
      <c r="L72" s="24">
        <v>82350.0</v>
      </c>
      <c r="M72" s="24">
        <v>378820.0</v>
      </c>
      <c r="N72" s="25">
        <v>6885575.0</v>
      </c>
    </row>
    <row r="73" ht="15.0" customHeight="1">
      <c r="A73" s="23" t="s">
        <v>73</v>
      </c>
      <c r="B73" s="24">
        <v>226610.0</v>
      </c>
      <c r="C73" s="24">
        <v>202400.0</v>
      </c>
      <c r="D73" s="24">
        <v>233950.0</v>
      </c>
      <c r="E73" s="24">
        <v>210000.0</v>
      </c>
      <c r="F73" s="24">
        <v>42500.0</v>
      </c>
      <c r="G73" s="24">
        <v>0.0</v>
      </c>
      <c r="H73" s="24">
        <v>0.0</v>
      </c>
      <c r="I73" s="24">
        <v>200.0</v>
      </c>
      <c r="J73" s="24">
        <v>5400.0</v>
      </c>
      <c r="K73" s="24">
        <v>14000.0</v>
      </c>
      <c r="L73" s="24">
        <v>38400.0</v>
      </c>
      <c r="M73" s="24">
        <v>72010.0</v>
      </c>
      <c r="N73" s="25">
        <v>1045470.0</v>
      </c>
    </row>
    <row r="74" ht="15.0" customHeight="1">
      <c r="A74" s="23" t="s">
        <v>23</v>
      </c>
      <c r="B74" s="24">
        <v>0.0</v>
      </c>
      <c r="C74" s="24">
        <v>0.0</v>
      </c>
      <c r="D74" s="24">
        <v>0.0</v>
      </c>
      <c r="E74" s="24">
        <v>0.0</v>
      </c>
      <c r="F74" s="24">
        <v>0.0</v>
      </c>
      <c r="G74" s="24">
        <v>1600.0</v>
      </c>
      <c r="H74" s="24">
        <v>12240.0</v>
      </c>
      <c r="I74" s="24">
        <v>3250.0</v>
      </c>
      <c r="J74" s="24">
        <v>16000.0</v>
      </c>
      <c r="K74" s="24">
        <v>0.0</v>
      </c>
      <c r="L74" s="24">
        <v>9000.0</v>
      </c>
      <c r="M74" s="24">
        <v>0.0</v>
      </c>
      <c r="N74" s="25">
        <v>42090.0</v>
      </c>
    </row>
    <row r="75" ht="15.0" customHeight="1">
      <c r="A75" s="23" t="s">
        <v>58</v>
      </c>
      <c r="B75" s="24">
        <v>0.0</v>
      </c>
      <c r="C75" s="24">
        <v>0.0</v>
      </c>
      <c r="D75" s="24">
        <v>0.0</v>
      </c>
      <c r="E75" s="24">
        <v>0.0</v>
      </c>
      <c r="F75" s="24">
        <v>0.0</v>
      </c>
      <c r="G75" s="24">
        <v>0.0</v>
      </c>
      <c r="H75" s="24">
        <v>15000.0</v>
      </c>
      <c r="I75" s="24">
        <v>0.0</v>
      </c>
      <c r="J75" s="24">
        <v>0.0</v>
      </c>
      <c r="K75" s="24">
        <v>0.0</v>
      </c>
      <c r="L75" s="24">
        <v>0.0</v>
      </c>
      <c r="M75" s="24">
        <v>0.0</v>
      </c>
      <c r="N75" s="25">
        <v>15000.0</v>
      </c>
    </row>
    <row r="76" ht="15.0" customHeight="1">
      <c r="A76" s="23" t="s">
        <v>97</v>
      </c>
      <c r="B76" s="24">
        <v>8950.0</v>
      </c>
      <c r="C76" s="24">
        <v>11855.0</v>
      </c>
      <c r="D76" s="24">
        <v>14270.0</v>
      </c>
      <c r="E76" s="24">
        <v>35575.0</v>
      </c>
      <c r="F76" s="24">
        <v>41270.0</v>
      </c>
      <c r="G76" s="24">
        <v>19825.0</v>
      </c>
      <c r="H76" s="24">
        <v>4950.0</v>
      </c>
      <c r="I76" s="24">
        <v>8160.0</v>
      </c>
      <c r="J76" s="24">
        <v>3790.0</v>
      </c>
      <c r="K76" s="24">
        <v>2240.0</v>
      </c>
      <c r="L76" s="24">
        <v>4935.0</v>
      </c>
      <c r="M76" s="24">
        <v>8360.0</v>
      </c>
      <c r="N76" s="25">
        <v>164180.0</v>
      </c>
    </row>
    <row r="77" ht="15.0" customHeight="1">
      <c r="A77" s="23" t="s">
        <v>98</v>
      </c>
      <c r="B77" s="24">
        <v>165351.0</v>
      </c>
      <c r="C77" s="24">
        <v>49355.0</v>
      </c>
      <c r="D77" s="24">
        <v>49310.0</v>
      </c>
      <c r="E77" s="24">
        <v>72550.0</v>
      </c>
      <c r="F77" s="24">
        <v>58355.0</v>
      </c>
      <c r="G77" s="24">
        <v>52040.0</v>
      </c>
      <c r="H77" s="24">
        <v>8370.0</v>
      </c>
      <c r="I77" s="24">
        <v>9450.0</v>
      </c>
      <c r="J77" s="24">
        <v>13250.0</v>
      </c>
      <c r="K77" s="24">
        <v>15888.0</v>
      </c>
      <c r="L77" s="24">
        <v>66675.0</v>
      </c>
      <c r="M77" s="24">
        <v>195060.0</v>
      </c>
      <c r="N77" s="25">
        <v>755654.0</v>
      </c>
    </row>
    <row r="78" ht="15.0" customHeight="1">
      <c r="A78" s="23" t="s">
        <v>99</v>
      </c>
      <c r="B78" s="24">
        <v>0.0</v>
      </c>
      <c r="C78" s="24">
        <v>0.0</v>
      </c>
      <c r="D78" s="24">
        <v>230.0</v>
      </c>
      <c r="E78" s="24">
        <v>0.0</v>
      </c>
      <c r="F78" s="24">
        <v>117260.0</v>
      </c>
      <c r="G78" s="24">
        <v>84030.0</v>
      </c>
      <c r="H78" s="24">
        <v>4460.0</v>
      </c>
      <c r="I78" s="24">
        <v>9000.0</v>
      </c>
      <c r="J78" s="24">
        <v>114000.0</v>
      </c>
      <c r="K78" s="24">
        <v>120.0</v>
      </c>
      <c r="L78" s="24">
        <v>50.0</v>
      </c>
      <c r="M78" s="24">
        <v>0.0</v>
      </c>
      <c r="N78" s="25">
        <v>329150.0</v>
      </c>
    </row>
    <row r="79" ht="15.0" customHeight="1">
      <c r="A79" s="23" t="s">
        <v>100</v>
      </c>
      <c r="B79" s="24">
        <v>0.0</v>
      </c>
      <c r="C79" s="24">
        <v>0.0</v>
      </c>
      <c r="D79" s="24">
        <v>0.0</v>
      </c>
      <c r="E79" s="24">
        <v>0.0</v>
      </c>
      <c r="F79" s="24">
        <v>0.0</v>
      </c>
      <c r="G79" s="24">
        <v>4500.0</v>
      </c>
      <c r="H79" s="24">
        <v>15760.0</v>
      </c>
      <c r="I79" s="24">
        <v>29000.0</v>
      </c>
      <c r="J79" s="24">
        <v>13250.0</v>
      </c>
      <c r="K79" s="24">
        <v>15550.0</v>
      </c>
      <c r="L79" s="24">
        <v>1700.0</v>
      </c>
      <c r="M79" s="24">
        <v>0.0</v>
      </c>
      <c r="N79" s="25">
        <v>79760.0</v>
      </c>
    </row>
    <row r="80" ht="15.0" customHeight="1">
      <c r="A80" s="23" t="s">
        <v>101</v>
      </c>
      <c r="B80" s="24">
        <v>200.0</v>
      </c>
      <c r="C80" s="24">
        <v>44850.0</v>
      </c>
      <c r="D80" s="24">
        <v>32355.0</v>
      </c>
      <c r="E80" s="24">
        <v>50.0</v>
      </c>
      <c r="F80" s="24">
        <v>0.0</v>
      </c>
      <c r="G80" s="24">
        <v>0.0</v>
      </c>
      <c r="H80" s="24">
        <v>0.0</v>
      </c>
      <c r="I80" s="24">
        <v>300.0</v>
      </c>
      <c r="J80" s="24">
        <v>0.0</v>
      </c>
      <c r="K80" s="24">
        <v>0.0</v>
      </c>
      <c r="L80" s="24">
        <v>0.0</v>
      </c>
      <c r="M80" s="24">
        <v>0.0</v>
      </c>
      <c r="N80" s="25">
        <v>77755.0</v>
      </c>
    </row>
    <row r="81" ht="15.0" customHeight="1">
      <c r="A81" s="23" t="s">
        <v>102</v>
      </c>
      <c r="B81" s="24">
        <v>1000.0</v>
      </c>
      <c r="C81" s="24">
        <v>6000.0</v>
      </c>
      <c r="D81" s="24">
        <v>40.0</v>
      </c>
      <c r="E81" s="24">
        <v>1255.0</v>
      </c>
      <c r="F81" s="24">
        <v>2880.0</v>
      </c>
      <c r="G81" s="24">
        <v>7700.0</v>
      </c>
      <c r="H81" s="24">
        <v>100.0</v>
      </c>
      <c r="I81" s="24">
        <v>9251.0</v>
      </c>
      <c r="J81" s="24">
        <v>12960.0</v>
      </c>
      <c r="K81" s="24">
        <v>400.0</v>
      </c>
      <c r="L81" s="24">
        <v>5500.0</v>
      </c>
      <c r="M81" s="24">
        <v>190100.0</v>
      </c>
      <c r="N81" s="25">
        <v>237186.0</v>
      </c>
    </row>
    <row r="82" ht="15.0" customHeight="1">
      <c r="A82" s="23" t="s">
        <v>103</v>
      </c>
      <c r="B82" s="24">
        <v>5000.0</v>
      </c>
      <c r="C82" s="24">
        <v>0.0</v>
      </c>
      <c r="D82" s="24">
        <v>0.0</v>
      </c>
      <c r="E82" s="24">
        <v>0.0</v>
      </c>
      <c r="F82" s="24">
        <v>1100.0</v>
      </c>
      <c r="G82" s="24">
        <v>600.0</v>
      </c>
      <c r="H82" s="24">
        <v>0.0</v>
      </c>
      <c r="I82" s="24">
        <v>100.0</v>
      </c>
      <c r="J82" s="24">
        <v>1250.0</v>
      </c>
      <c r="K82" s="24">
        <v>2350.0</v>
      </c>
      <c r="L82" s="24">
        <v>2230.0</v>
      </c>
      <c r="M82" s="24">
        <v>1110.0</v>
      </c>
      <c r="N82" s="25">
        <v>13740.0</v>
      </c>
    </row>
    <row r="83" ht="15.0" customHeight="1">
      <c r="A83" s="23" t="s">
        <v>104</v>
      </c>
      <c r="B83" s="24">
        <v>0.0</v>
      </c>
      <c r="C83" s="24">
        <v>0.0</v>
      </c>
      <c r="D83" s="24">
        <v>0.0</v>
      </c>
      <c r="E83" s="24">
        <v>0.0</v>
      </c>
      <c r="F83" s="24">
        <v>0.0</v>
      </c>
      <c r="G83" s="24">
        <v>0.0</v>
      </c>
      <c r="H83" s="24">
        <v>0.0</v>
      </c>
      <c r="I83" s="24">
        <v>0.0</v>
      </c>
      <c r="J83" s="24">
        <v>330.0</v>
      </c>
      <c r="K83" s="24">
        <v>8620.0</v>
      </c>
      <c r="L83" s="24">
        <v>13690.0</v>
      </c>
      <c r="M83" s="24">
        <v>250.0</v>
      </c>
      <c r="N83" s="25">
        <v>22890.0</v>
      </c>
    </row>
    <row r="84" ht="15.0" customHeight="1">
      <c r="A84" s="23" t="s">
        <v>105</v>
      </c>
      <c r="B84" s="24">
        <v>0.0</v>
      </c>
      <c r="C84" s="24">
        <v>0.0</v>
      </c>
      <c r="D84" s="24">
        <v>0.0</v>
      </c>
      <c r="E84" s="24">
        <v>0.0</v>
      </c>
      <c r="F84" s="24">
        <v>0.0</v>
      </c>
      <c r="G84" s="24">
        <v>0.0</v>
      </c>
      <c r="H84" s="24">
        <v>0.0</v>
      </c>
      <c r="I84" s="24">
        <v>0.0</v>
      </c>
      <c r="J84" s="24">
        <v>0.0</v>
      </c>
      <c r="K84" s="24">
        <v>40.0</v>
      </c>
      <c r="L84" s="24">
        <v>0.0</v>
      </c>
      <c r="M84" s="24">
        <v>40.0</v>
      </c>
      <c r="N84" s="25">
        <v>80.0</v>
      </c>
    </row>
    <row r="85" ht="15.0" customHeight="1">
      <c r="A85" s="27" t="s">
        <v>106</v>
      </c>
      <c r="B85" s="28">
        <v>223140.0</v>
      </c>
      <c r="C85" s="28">
        <v>242790.0</v>
      </c>
      <c r="D85" s="28">
        <v>228250.0</v>
      </c>
      <c r="E85" s="28">
        <v>230580.0</v>
      </c>
      <c r="F85" s="28">
        <v>266300.0</v>
      </c>
      <c r="G85" s="28">
        <v>414240.0</v>
      </c>
      <c r="H85" s="28">
        <v>356290.0</v>
      </c>
      <c r="I85" s="28">
        <v>269300.0</v>
      </c>
      <c r="J85" s="28">
        <v>177180.0</v>
      </c>
      <c r="K85" s="28">
        <v>192910.0</v>
      </c>
      <c r="L85" s="28">
        <v>150540.0</v>
      </c>
      <c r="M85" s="28">
        <v>171260.0</v>
      </c>
      <c r="N85" s="29">
        <v>2922780.0</v>
      </c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15.0" customHeight="1">
      <c r="A86" s="23" t="s">
        <v>107</v>
      </c>
      <c r="B86" s="24">
        <v>16480.0</v>
      </c>
      <c r="C86" s="24">
        <v>3520.0</v>
      </c>
      <c r="D86" s="24">
        <v>2720.0</v>
      </c>
      <c r="E86" s="24">
        <v>7640.0</v>
      </c>
      <c r="F86" s="24">
        <v>2280.0</v>
      </c>
      <c r="G86" s="24">
        <v>6260.0</v>
      </c>
      <c r="H86" s="24">
        <v>1040.0</v>
      </c>
      <c r="I86" s="24">
        <v>3390.0</v>
      </c>
      <c r="J86" s="24">
        <v>7100.0</v>
      </c>
      <c r="K86" s="24">
        <v>4400.0</v>
      </c>
      <c r="L86" s="24">
        <v>0.0</v>
      </c>
      <c r="M86" s="24">
        <v>1960.0</v>
      </c>
      <c r="N86" s="25">
        <v>56790.0</v>
      </c>
    </row>
    <row r="87" ht="15.0" customHeight="1">
      <c r="A87" s="23" t="s">
        <v>108</v>
      </c>
      <c r="B87" s="24">
        <v>557455.0</v>
      </c>
      <c r="C87" s="24">
        <v>387390.0</v>
      </c>
      <c r="D87" s="24">
        <v>157340.0</v>
      </c>
      <c r="E87" s="24">
        <v>99140.0</v>
      </c>
      <c r="F87" s="24">
        <v>113460.0</v>
      </c>
      <c r="G87" s="24">
        <v>64980.0</v>
      </c>
      <c r="H87" s="24">
        <v>216380.0</v>
      </c>
      <c r="I87" s="24">
        <v>380110.0</v>
      </c>
      <c r="J87" s="24">
        <v>293890.0</v>
      </c>
      <c r="K87" s="24">
        <v>351570.0</v>
      </c>
      <c r="L87" s="24">
        <v>381600.0</v>
      </c>
      <c r="M87" s="24">
        <v>306770.0</v>
      </c>
      <c r="N87" s="25">
        <v>3310085.0</v>
      </c>
    </row>
    <row r="88" ht="15.0" customHeight="1">
      <c r="A88" s="23" t="s">
        <v>109</v>
      </c>
      <c r="B88" s="24">
        <v>76385.0</v>
      </c>
      <c r="C88" s="24">
        <v>167050.0</v>
      </c>
      <c r="D88" s="24">
        <v>102000.0</v>
      </c>
      <c r="E88" s="24">
        <v>35500.0</v>
      </c>
      <c r="F88" s="24">
        <v>71000.0</v>
      </c>
      <c r="G88" s="24">
        <v>40500.0</v>
      </c>
      <c r="H88" s="24">
        <v>116575.0</v>
      </c>
      <c r="I88" s="24">
        <v>232000.0</v>
      </c>
      <c r="J88" s="24">
        <v>171700.0</v>
      </c>
      <c r="K88" s="24">
        <v>112400.0</v>
      </c>
      <c r="L88" s="24">
        <v>101935.0</v>
      </c>
      <c r="M88" s="24">
        <v>103035.0</v>
      </c>
      <c r="N88" s="25">
        <v>1330080.0</v>
      </c>
    </row>
    <row r="89" ht="15.0" customHeight="1">
      <c r="A89" s="23" t="s">
        <v>110</v>
      </c>
      <c r="B89" s="24">
        <v>19350.0</v>
      </c>
      <c r="C89" s="24">
        <v>13200.0</v>
      </c>
      <c r="D89" s="24">
        <v>14700.0</v>
      </c>
      <c r="E89" s="24">
        <v>12650.0</v>
      </c>
      <c r="F89" s="24">
        <v>4700.0</v>
      </c>
      <c r="G89" s="24">
        <v>500.0</v>
      </c>
      <c r="H89" s="24">
        <v>945.0</v>
      </c>
      <c r="I89" s="24">
        <v>6030.0</v>
      </c>
      <c r="J89" s="24">
        <v>25250.0</v>
      </c>
      <c r="K89" s="24">
        <v>25850.0</v>
      </c>
      <c r="L89" s="24">
        <v>32450.0</v>
      </c>
      <c r="M89" s="24">
        <v>34800.0</v>
      </c>
      <c r="N89" s="25">
        <v>190425.0</v>
      </c>
    </row>
    <row r="90" ht="15.0" customHeight="1">
      <c r="A90" s="23" t="s">
        <v>111</v>
      </c>
      <c r="B90" s="24">
        <v>30855.0</v>
      </c>
      <c r="C90" s="24">
        <v>34202.0</v>
      </c>
      <c r="D90" s="24">
        <v>21700.0</v>
      </c>
      <c r="E90" s="24">
        <v>19940.0</v>
      </c>
      <c r="F90" s="24">
        <v>22995.0</v>
      </c>
      <c r="G90" s="24">
        <v>14030.0</v>
      </c>
      <c r="H90" s="24">
        <v>10670.0</v>
      </c>
      <c r="I90" s="24">
        <v>17010.0</v>
      </c>
      <c r="J90" s="24">
        <v>21830.0</v>
      </c>
      <c r="K90" s="24">
        <v>49950.0</v>
      </c>
      <c r="L90" s="24">
        <v>44450.0</v>
      </c>
      <c r="M90" s="24">
        <v>38450.0</v>
      </c>
      <c r="N90" s="25">
        <v>326082.0</v>
      </c>
    </row>
    <row r="91" ht="15.0" customHeight="1">
      <c r="A91" s="23" t="s">
        <v>112</v>
      </c>
      <c r="B91" s="24">
        <v>144800.0</v>
      </c>
      <c r="C91" s="24">
        <v>29900.0</v>
      </c>
      <c r="D91" s="24">
        <v>51000.0</v>
      </c>
      <c r="E91" s="24">
        <v>123200.0</v>
      </c>
      <c r="F91" s="24">
        <v>182000.0</v>
      </c>
      <c r="G91" s="24">
        <v>94000.0</v>
      </c>
      <c r="H91" s="24">
        <v>66000.0</v>
      </c>
      <c r="I91" s="24">
        <v>88315.0</v>
      </c>
      <c r="J91" s="24">
        <v>101000.0</v>
      </c>
      <c r="K91" s="24">
        <v>186620.0</v>
      </c>
      <c r="L91" s="24">
        <v>133000.0</v>
      </c>
      <c r="M91" s="24">
        <v>220000.0</v>
      </c>
      <c r="N91" s="25">
        <v>1419835.0</v>
      </c>
    </row>
    <row r="92" ht="15.0" customHeight="1">
      <c r="A92" s="23" t="s">
        <v>113</v>
      </c>
      <c r="B92" s="24">
        <v>140500.0</v>
      </c>
      <c r="C92" s="24">
        <v>87050.0</v>
      </c>
      <c r="D92" s="24">
        <v>43000.0</v>
      </c>
      <c r="E92" s="24">
        <v>32750.0</v>
      </c>
      <c r="F92" s="24">
        <v>53650.0</v>
      </c>
      <c r="G92" s="24">
        <v>56900.0</v>
      </c>
      <c r="H92" s="24">
        <v>19000.0</v>
      </c>
      <c r="I92" s="24">
        <v>57450.0</v>
      </c>
      <c r="J92" s="24">
        <v>55050.0</v>
      </c>
      <c r="K92" s="24">
        <v>61250.0</v>
      </c>
      <c r="L92" s="24">
        <v>61350.0</v>
      </c>
      <c r="M92" s="24">
        <v>166000.0</v>
      </c>
      <c r="N92" s="25">
        <v>833950.0</v>
      </c>
    </row>
    <row r="93" ht="15.0" customHeight="1">
      <c r="A93" s="23" t="s">
        <v>114</v>
      </c>
      <c r="B93" s="24">
        <v>200.0</v>
      </c>
      <c r="C93" s="24">
        <v>0.0</v>
      </c>
      <c r="D93" s="24">
        <v>0.0</v>
      </c>
      <c r="E93" s="24">
        <v>0.0</v>
      </c>
      <c r="F93" s="24">
        <v>0.0</v>
      </c>
      <c r="G93" s="24">
        <v>0.0</v>
      </c>
      <c r="H93" s="24">
        <v>0.0</v>
      </c>
      <c r="I93" s="24">
        <v>0.0</v>
      </c>
      <c r="J93" s="24">
        <v>0.0</v>
      </c>
      <c r="K93" s="24">
        <v>0.0</v>
      </c>
      <c r="L93" s="24">
        <v>0.0</v>
      </c>
      <c r="M93" s="24">
        <v>0.0</v>
      </c>
      <c r="N93" s="25">
        <v>200.0</v>
      </c>
    </row>
    <row r="94" ht="15.0" customHeight="1">
      <c r="A94" s="23" t="s">
        <v>115</v>
      </c>
      <c r="B94" s="24">
        <v>1925.0</v>
      </c>
      <c r="C94" s="24">
        <v>490.0</v>
      </c>
      <c r="D94" s="24">
        <v>225.0</v>
      </c>
      <c r="E94" s="24">
        <v>580.0</v>
      </c>
      <c r="F94" s="24">
        <v>1060.0</v>
      </c>
      <c r="G94" s="24">
        <v>320.0</v>
      </c>
      <c r="H94" s="24">
        <v>405.0</v>
      </c>
      <c r="I94" s="24">
        <v>335.0</v>
      </c>
      <c r="J94" s="24">
        <v>1420.0</v>
      </c>
      <c r="K94" s="24">
        <v>70.0</v>
      </c>
      <c r="L94" s="24">
        <v>1245.0</v>
      </c>
      <c r="M94" s="24">
        <v>2372.0</v>
      </c>
      <c r="N94" s="25">
        <v>10447.0</v>
      </c>
    </row>
    <row r="95" ht="15.0" customHeight="1">
      <c r="A95" s="27" t="s">
        <v>116</v>
      </c>
      <c r="B95" s="28">
        <v>247300.0</v>
      </c>
      <c r="C95" s="28">
        <v>138600.0</v>
      </c>
      <c r="D95" s="28">
        <v>155400.0</v>
      </c>
      <c r="E95" s="28">
        <v>138200.0</v>
      </c>
      <c r="F95" s="28">
        <v>138700.0</v>
      </c>
      <c r="G95" s="28">
        <v>201900.0</v>
      </c>
      <c r="H95" s="28">
        <v>389390.0</v>
      </c>
      <c r="I95" s="28">
        <v>235600.0</v>
      </c>
      <c r="J95" s="28">
        <v>203550.0</v>
      </c>
      <c r="K95" s="28">
        <v>354100.0</v>
      </c>
      <c r="L95" s="28">
        <v>247100.0</v>
      </c>
      <c r="M95" s="28">
        <v>206500.0</v>
      </c>
      <c r="N95" s="29">
        <v>2656340.0</v>
      </c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15.0" customHeight="1">
      <c r="A96" s="23" t="s">
        <v>119</v>
      </c>
      <c r="B96" s="24">
        <v>32000.0</v>
      </c>
      <c r="C96" s="24">
        <v>47520.0</v>
      </c>
      <c r="D96" s="24">
        <v>34550.0</v>
      </c>
      <c r="E96" s="24">
        <v>28990.0</v>
      </c>
      <c r="F96" s="24">
        <v>107173.0</v>
      </c>
      <c r="G96" s="24">
        <v>47512.0</v>
      </c>
      <c r="H96" s="24">
        <v>151650.0</v>
      </c>
      <c r="I96" s="24">
        <v>13395.0</v>
      </c>
      <c r="J96" s="24">
        <v>76315.0</v>
      </c>
      <c r="K96" s="24">
        <v>58800.0</v>
      </c>
      <c r="L96" s="24">
        <v>15415.0</v>
      </c>
      <c r="M96" s="24">
        <v>75425.0</v>
      </c>
      <c r="N96" s="25">
        <v>688745.0</v>
      </c>
    </row>
    <row r="97" ht="15.0" customHeight="1">
      <c r="A97" s="23" t="s">
        <v>118</v>
      </c>
      <c r="B97" s="31">
        <v>2.0532361E7</v>
      </c>
      <c r="C97" s="31">
        <v>2.0872408E7</v>
      </c>
      <c r="D97" s="31">
        <v>1.9845692E7</v>
      </c>
      <c r="E97" s="31">
        <v>2.0426749E7</v>
      </c>
      <c r="F97" s="31">
        <v>2.0555641E7</v>
      </c>
      <c r="G97" s="31">
        <v>1.8716712E7</v>
      </c>
      <c r="H97" s="31">
        <v>1.4576313E7</v>
      </c>
      <c r="I97" s="31">
        <v>1.8698863E7</v>
      </c>
      <c r="J97" s="31">
        <v>2.0745835E7</v>
      </c>
      <c r="K97" s="31">
        <v>2.0703928E7</v>
      </c>
      <c r="L97" s="31">
        <v>1.9520358E7</v>
      </c>
      <c r="M97" s="31">
        <v>1.989692E7</v>
      </c>
      <c r="N97" s="25">
        <v>2.3509178E8</v>
      </c>
    </row>
    <row r="98" ht="12.75" customHeight="1"/>
    <row r="99" ht="9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8.75"/>
    <col customWidth="1" min="3" max="3" width="9.38"/>
    <col customWidth="1" min="4" max="4" width="10.25"/>
    <col customWidth="1" min="5" max="5" width="10.63"/>
    <col customWidth="1" min="6" max="6" width="10.0"/>
    <col customWidth="1" min="7" max="7" width="9.38"/>
    <col customWidth="1" min="8" max="8" width="9.88"/>
    <col customWidth="1" min="9" max="9" width="10.38"/>
    <col customWidth="1" min="10" max="10" width="10.25"/>
    <col customWidth="1" min="11" max="11" width="10.0"/>
    <col customWidth="1" min="12" max="12" width="9.25"/>
    <col customWidth="1" min="13" max="13" width="10.38"/>
    <col customWidth="1" min="14" max="14" width="9.63"/>
    <col customWidth="1" min="15" max="15" width="10.25"/>
    <col customWidth="1" min="16" max="16" width="9.25"/>
    <col customWidth="1" min="17" max="17" width="8.38"/>
    <col customWidth="1" min="18" max="18" width="11.0"/>
    <col customWidth="1" min="19" max="19" width="8.38"/>
    <col customWidth="1" min="20" max="20" width="9.63"/>
    <col customWidth="1" min="21" max="21" width="10.63"/>
    <col customWidth="1" min="22" max="22" width="11.38"/>
    <col customWidth="1" min="23" max="23" width="9.38"/>
    <col customWidth="1" min="24" max="24" width="11.75"/>
    <col customWidth="1" min="25" max="25" width="8.0"/>
  </cols>
  <sheetData>
    <row r="1" ht="18.0" customHeight="1">
      <c r="A1" s="32" t="s">
        <v>120</v>
      </c>
      <c r="B1" s="33" t="s">
        <v>121</v>
      </c>
      <c r="C1" s="33" t="s">
        <v>122</v>
      </c>
      <c r="D1" s="33" t="s">
        <v>123</v>
      </c>
      <c r="E1" s="33" t="s">
        <v>124</v>
      </c>
      <c r="F1" s="33" t="s">
        <v>125</v>
      </c>
      <c r="G1" s="34" t="s">
        <v>126</v>
      </c>
      <c r="H1" s="34" t="s">
        <v>127</v>
      </c>
      <c r="I1" s="33" t="s">
        <v>128</v>
      </c>
      <c r="J1" s="33" t="s">
        <v>129</v>
      </c>
      <c r="K1" s="33" t="s">
        <v>130</v>
      </c>
      <c r="L1" s="33" t="s">
        <v>131</v>
      </c>
      <c r="M1" s="33" t="s">
        <v>132</v>
      </c>
      <c r="N1" s="33" t="s">
        <v>133</v>
      </c>
      <c r="O1" s="33" t="s">
        <v>134</v>
      </c>
      <c r="P1" s="33" t="s">
        <v>135</v>
      </c>
      <c r="Q1" s="33" t="s">
        <v>136</v>
      </c>
      <c r="R1" s="33" t="s">
        <v>137</v>
      </c>
      <c r="S1" s="33" t="s">
        <v>138</v>
      </c>
      <c r="T1" s="33" t="s">
        <v>139</v>
      </c>
      <c r="U1" s="33" t="s">
        <v>140</v>
      </c>
      <c r="V1" s="33" t="s">
        <v>141</v>
      </c>
      <c r="W1" s="34" t="s">
        <v>119</v>
      </c>
      <c r="X1" s="33" t="s">
        <v>118</v>
      </c>
      <c r="Y1" s="33" t="s">
        <v>142</v>
      </c>
    </row>
    <row r="2" ht="15.0" customHeight="1">
      <c r="A2" s="23" t="s">
        <v>18</v>
      </c>
      <c r="B2" s="35">
        <v>132825.0</v>
      </c>
      <c r="C2" s="35">
        <v>63895.0</v>
      </c>
      <c r="D2" s="35">
        <v>196800.0</v>
      </c>
      <c r="E2" s="35">
        <v>591441.0</v>
      </c>
      <c r="F2" s="35">
        <v>750.0</v>
      </c>
      <c r="G2" s="36"/>
      <c r="H2" s="36">
        <v>203450.0</v>
      </c>
      <c r="I2" s="37">
        <v>435897.0</v>
      </c>
      <c r="J2" s="37">
        <v>618767.0</v>
      </c>
      <c r="K2" s="37">
        <v>61210.0</v>
      </c>
      <c r="L2" s="37"/>
      <c r="M2" s="37">
        <v>9500.0</v>
      </c>
      <c r="N2" s="37">
        <v>10000.0</v>
      </c>
      <c r="O2" s="37">
        <v>25251.0</v>
      </c>
      <c r="P2" s="37">
        <v>34715.0</v>
      </c>
      <c r="Q2" s="37">
        <v>299230.0</v>
      </c>
      <c r="R2" s="37">
        <v>655275.0</v>
      </c>
      <c r="S2" s="37">
        <v>1440.0</v>
      </c>
      <c r="T2" s="37"/>
      <c r="U2" s="37">
        <v>1274597.0</v>
      </c>
      <c r="V2" s="37"/>
      <c r="W2" s="38">
        <v>78330.0</v>
      </c>
      <c r="X2" s="37">
        <v>4693373.0</v>
      </c>
      <c r="Y2" s="39">
        <f t="shared" ref="Y2:Y96" si="1">(X2/$X$97)*100</f>
        <v>1.996400299</v>
      </c>
    </row>
    <row r="3" ht="15.0" customHeight="1">
      <c r="A3" s="23" t="s">
        <v>20</v>
      </c>
      <c r="B3" s="35">
        <v>494225.0</v>
      </c>
      <c r="C3" s="35">
        <v>220875.0</v>
      </c>
      <c r="D3" s="35">
        <v>348835.0</v>
      </c>
      <c r="E3" s="35">
        <v>6915065.0</v>
      </c>
      <c r="F3" s="35">
        <v>8600.0</v>
      </c>
      <c r="G3" s="36"/>
      <c r="H3" s="36">
        <v>261985.0</v>
      </c>
      <c r="I3" s="37">
        <v>1267205.0</v>
      </c>
      <c r="J3" s="37">
        <v>4321450.0</v>
      </c>
      <c r="K3" s="37">
        <v>211045.0</v>
      </c>
      <c r="L3" s="37"/>
      <c r="M3" s="37">
        <v>163550.0</v>
      </c>
      <c r="N3" s="37">
        <v>34200.0</v>
      </c>
      <c r="O3" s="37">
        <v>63475.0</v>
      </c>
      <c r="P3" s="37">
        <v>91425.0</v>
      </c>
      <c r="Q3" s="37">
        <v>289922.0</v>
      </c>
      <c r="R3" s="37">
        <v>6007848.0</v>
      </c>
      <c r="S3" s="37">
        <v>14625.0</v>
      </c>
      <c r="T3" s="37"/>
      <c r="U3" s="37">
        <v>189945.0</v>
      </c>
      <c r="V3" s="37"/>
      <c r="W3" s="38">
        <v>147980.0</v>
      </c>
      <c r="X3" s="37">
        <v>2.1052255E7</v>
      </c>
      <c r="Y3" s="39">
        <f t="shared" si="1"/>
        <v>8.954909015</v>
      </c>
    </row>
    <row r="4" ht="15.0" customHeight="1">
      <c r="A4" s="23" t="s">
        <v>21</v>
      </c>
      <c r="B4" s="35"/>
      <c r="C4" s="35">
        <v>223702.0</v>
      </c>
      <c r="D4" s="35">
        <v>68940.0</v>
      </c>
      <c r="E4" s="35">
        <v>269820.0</v>
      </c>
      <c r="F4" s="35">
        <v>5087748.0</v>
      </c>
      <c r="G4" s="36"/>
      <c r="H4" s="36">
        <v>3481470.0</v>
      </c>
      <c r="I4" s="37">
        <v>4068374.0</v>
      </c>
      <c r="J4" s="37">
        <v>8753080.0</v>
      </c>
      <c r="K4" s="37">
        <v>59190.0</v>
      </c>
      <c r="L4" s="37"/>
      <c r="M4" s="37">
        <v>478076.0</v>
      </c>
      <c r="N4" s="37">
        <v>48000.0</v>
      </c>
      <c r="O4" s="37">
        <v>1524978.0</v>
      </c>
      <c r="P4" s="37">
        <v>753590.0</v>
      </c>
      <c r="Q4" s="37">
        <v>23240.0</v>
      </c>
      <c r="R4" s="37">
        <v>37510.0</v>
      </c>
      <c r="S4" s="37">
        <v>35000.0</v>
      </c>
      <c r="T4" s="37"/>
      <c r="U4" s="37">
        <v>1.3139869E7</v>
      </c>
      <c r="V4" s="37">
        <v>48986.0</v>
      </c>
      <c r="W4" s="38">
        <v>201222.0</v>
      </c>
      <c r="X4" s="37">
        <v>3.8302795E7</v>
      </c>
      <c r="Y4" s="39">
        <f t="shared" si="1"/>
        <v>16.29269854</v>
      </c>
    </row>
    <row r="5" ht="15.0" customHeight="1">
      <c r="A5" s="23" t="s">
        <v>22</v>
      </c>
      <c r="B5" s="35"/>
      <c r="C5" s="35">
        <v>48640.0</v>
      </c>
      <c r="D5" s="35">
        <v>13600.0</v>
      </c>
      <c r="E5" s="35">
        <v>8400.0</v>
      </c>
      <c r="F5" s="35">
        <v>356978.0</v>
      </c>
      <c r="G5" s="36"/>
      <c r="H5" s="36">
        <v>556894.0</v>
      </c>
      <c r="I5" s="37">
        <v>658590.0</v>
      </c>
      <c r="J5" s="37">
        <v>965230.0</v>
      </c>
      <c r="K5" s="37">
        <v>17000.0</v>
      </c>
      <c r="L5" s="37"/>
      <c r="M5" s="37">
        <v>333390.0</v>
      </c>
      <c r="N5" s="37"/>
      <c r="O5" s="37">
        <v>59760.0</v>
      </c>
      <c r="P5" s="37">
        <v>261810.0</v>
      </c>
      <c r="Q5" s="37"/>
      <c r="R5" s="37">
        <v>17000.0</v>
      </c>
      <c r="S5" s="37"/>
      <c r="T5" s="37"/>
      <c r="U5" s="37">
        <v>5564587.0</v>
      </c>
      <c r="V5" s="37">
        <v>25000.0</v>
      </c>
      <c r="W5" s="38">
        <v>93690.0</v>
      </c>
      <c r="X5" s="37">
        <v>8980569.0</v>
      </c>
      <c r="Y5" s="39">
        <f t="shared" si="1"/>
        <v>3.8200268</v>
      </c>
    </row>
    <row r="6" ht="15.0" customHeight="1">
      <c r="A6" s="23" t="s">
        <v>24</v>
      </c>
      <c r="B6" s="35"/>
      <c r="C6" s="35">
        <v>6600.0</v>
      </c>
      <c r="D6" s="35">
        <v>58000.0</v>
      </c>
      <c r="E6" s="35">
        <v>92638.0</v>
      </c>
      <c r="F6" s="35">
        <v>11040.0</v>
      </c>
      <c r="G6" s="36"/>
      <c r="H6" s="36">
        <v>21216.0</v>
      </c>
      <c r="I6" s="37">
        <v>56336.0</v>
      </c>
      <c r="J6" s="37">
        <v>17166.0</v>
      </c>
      <c r="K6" s="37">
        <v>6760.0</v>
      </c>
      <c r="L6" s="37"/>
      <c r="M6" s="37">
        <v>68126.0</v>
      </c>
      <c r="N6" s="37"/>
      <c r="O6" s="37">
        <v>18000.0</v>
      </c>
      <c r="P6" s="37">
        <v>648168.0</v>
      </c>
      <c r="Q6" s="37"/>
      <c r="R6" s="37">
        <v>3000.0</v>
      </c>
      <c r="S6" s="37">
        <v>1920.0</v>
      </c>
      <c r="T6" s="37"/>
      <c r="U6" s="37">
        <v>2.0188517E7</v>
      </c>
      <c r="V6" s="37">
        <v>37000.0</v>
      </c>
      <c r="W6" s="38">
        <v>17000.0</v>
      </c>
      <c r="X6" s="37">
        <v>2.1251487E7</v>
      </c>
      <c r="Y6" s="39">
        <f t="shared" si="1"/>
        <v>9.039655491</v>
      </c>
    </row>
    <row r="7" ht="15.0" customHeight="1">
      <c r="A7" s="23" t="s">
        <v>25</v>
      </c>
      <c r="B7" s="35">
        <v>5000.0</v>
      </c>
      <c r="C7" s="35">
        <v>1297730.0</v>
      </c>
      <c r="D7" s="35">
        <v>1066680.0</v>
      </c>
      <c r="E7" s="35">
        <v>45115.0</v>
      </c>
      <c r="F7" s="35">
        <v>3000.0</v>
      </c>
      <c r="G7" s="36"/>
      <c r="H7" s="36">
        <v>3500.0</v>
      </c>
      <c r="I7" s="37">
        <v>41140.0</v>
      </c>
      <c r="J7" s="37">
        <v>7495.0</v>
      </c>
      <c r="K7" s="37">
        <v>6300.0</v>
      </c>
      <c r="L7" s="37"/>
      <c r="M7" s="37">
        <v>32610.0</v>
      </c>
      <c r="N7" s="37">
        <v>650.0</v>
      </c>
      <c r="O7" s="37">
        <v>1430.0</v>
      </c>
      <c r="P7" s="37"/>
      <c r="Q7" s="37"/>
      <c r="R7" s="37"/>
      <c r="S7" s="37">
        <v>1755.0</v>
      </c>
      <c r="T7" s="37"/>
      <c r="U7" s="37">
        <v>55000.0</v>
      </c>
      <c r="V7" s="37"/>
      <c r="W7" s="38">
        <v>9185.0</v>
      </c>
      <c r="X7" s="37">
        <v>2576590.0</v>
      </c>
      <c r="Y7" s="39">
        <f t="shared" si="1"/>
        <v>1.095993233</v>
      </c>
    </row>
    <row r="8" ht="15.0" customHeight="1">
      <c r="A8" s="23" t="s">
        <v>26</v>
      </c>
      <c r="B8" s="35"/>
      <c r="C8" s="35">
        <v>567870.0</v>
      </c>
      <c r="D8" s="35">
        <v>2218540.0</v>
      </c>
      <c r="E8" s="35">
        <v>3349010.0</v>
      </c>
      <c r="F8" s="35">
        <v>168600.0</v>
      </c>
      <c r="G8" s="36"/>
      <c r="H8" s="36">
        <v>32440.0</v>
      </c>
      <c r="I8" s="37">
        <v>798324.0</v>
      </c>
      <c r="J8" s="37">
        <v>706690.0</v>
      </c>
      <c r="K8" s="37">
        <v>704200.0</v>
      </c>
      <c r="L8" s="37"/>
      <c r="M8" s="37">
        <v>4657780.0</v>
      </c>
      <c r="N8" s="37">
        <v>16320.0</v>
      </c>
      <c r="O8" s="37">
        <v>59200.0</v>
      </c>
      <c r="P8" s="37">
        <v>45320.0</v>
      </c>
      <c r="Q8" s="37">
        <v>2000.0</v>
      </c>
      <c r="R8" s="37">
        <v>32000.0</v>
      </c>
      <c r="S8" s="37">
        <v>91880.0</v>
      </c>
      <c r="T8" s="37"/>
      <c r="U8" s="37">
        <v>25000.0</v>
      </c>
      <c r="V8" s="37"/>
      <c r="W8" s="38">
        <v>232400.0</v>
      </c>
      <c r="X8" s="37">
        <v>1.3707574E7</v>
      </c>
      <c r="Y8" s="39">
        <f t="shared" si="1"/>
        <v>5.830733001</v>
      </c>
    </row>
    <row r="9" ht="15.0" customHeight="1">
      <c r="A9" s="40" t="s">
        <v>27</v>
      </c>
      <c r="B9" s="36"/>
      <c r="C9" s="36">
        <v>833110.0</v>
      </c>
      <c r="D9" s="36">
        <v>630775.0</v>
      </c>
      <c r="E9" s="36">
        <v>8514680.0</v>
      </c>
      <c r="F9" s="36">
        <v>1067560.0</v>
      </c>
      <c r="G9" s="36"/>
      <c r="H9" s="36">
        <v>9000.0</v>
      </c>
      <c r="I9" s="38">
        <v>1350020.0</v>
      </c>
      <c r="J9" s="38">
        <v>2217425.0</v>
      </c>
      <c r="K9" s="38">
        <v>705840.0</v>
      </c>
      <c r="L9" s="38"/>
      <c r="M9" s="38">
        <v>7514290.0</v>
      </c>
      <c r="N9" s="38">
        <v>2000.0</v>
      </c>
      <c r="O9" s="38">
        <v>153710.0</v>
      </c>
      <c r="P9" s="38">
        <v>11600.0</v>
      </c>
      <c r="Q9" s="38"/>
      <c r="R9" s="38">
        <v>14800.0</v>
      </c>
      <c r="S9" s="38">
        <v>3120.0</v>
      </c>
      <c r="T9" s="38"/>
      <c r="U9" s="38">
        <v>42400.0</v>
      </c>
      <c r="V9" s="38"/>
      <c r="W9" s="38">
        <v>146751.0</v>
      </c>
      <c r="X9" s="38">
        <v>2.3217081E7</v>
      </c>
      <c r="Y9" s="39">
        <f t="shared" si="1"/>
        <v>9.87575193</v>
      </c>
    </row>
    <row r="10" ht="15.0" customHeight="1">
      <c r="A10" s="40" t="s">
        <v>28</v>
      </c>
      <c r="B10" s="36">
        <v>3000.0</v>
      </c>
      <c r="C10" s="36"/>
      <c r="D10" s="36">
        <v>1392822.0</v>
      </c>
      <c r="E10" s="41">
        <v>18400.0</v>
      </c>
      <c r="F10" s="36"/>
      <c r="G10" s="36"/>
      <c r="H10" s="36">
        <v>24000.0</v>
      </c>
      <c r="I10" s="38"/>
      <c r="J10" s="38"/>
      <c r="K10" s="38"/>
      <c r="L10" s="38"/>
      <c r="M10" s="38">
        <v>90490.0</v>
      </c>
      <c r="N10" s="38">
        <v>3000.0</v>
      </c>
      <c r="O10" s="38"/>
      <c r="P10" s="38">
        <v>23000.0</v>
      </c>
      <c r="Q10" s="38"/>
      <c r="R10" s="38">
        <v>23000.0</v>
      </c>
      <c r="S10" s="38">
        <v>4000.0</v>
      </c>
      <c r="T10" s="38"/>
      <c r="U10" s="38">
        <v>23700.0</v>
      </c>
      <c r="V10" s="38"/>
      <c r="W10" s="38">
        <v>20000.0</v>
      </c>
      <c r="X10" s="38">
        <v>1625412.0</v>
      </c>
      <c r="Y10" s="39">
        <f t="shared" si="1"/>
        <v>0.6913946545</v>
      </c>
    </row>
    <row r="11" ht="15.0" customHeight="1">
      <c r="A11" s="40" t="s">
        <v>29</v>
      </c>
      <c r="B11" s="36"/>
      <c r="C11" s="36">
        <v>540.0</v>
      </c>
      <c r="D11" s="36">
        <v>20100.0</v>
      </c>
      <c r="E11" s="36">
        <v>1950.0</v>
      </c>
      <c r="F11" s="36"/>
      <c r="G11" s="36"/>
      <c r="H11" s="36">
        <v>1000.0</v>
      </c>
      <c r="I11" s="38">
        <v>19675.0</v>
      </c>
      <c r="J11" s="38"/>
      <c r="K11" s="38">
        <v>50.0</v>
      </c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>
        <v>100.0</v>
      </c>
      <c r="X11" s="38">
        <v>43415.0</v>
      </c>
      <c r="Y11" s="39">
        <f t="shared" si="1"/>
        <v>0.01846725564</v>
      </c>
    </row>
    <row r="12" ht="15.0" customHeight="1">
      <c r="A12" s="40" t="s">
        <v>30</v>
      </c>
      <c r="B12" s="36">
        <v>4000.0</v>
      </c>
      <c r="C12" s="36">
        <v>102045.0</v>
      </c>
      <c r="D12" s="36">
        <v>1522700.0</v>
      </c>
      <c r="E12" s="36">
        <v>488835.0</v>
      </c>
      <c r="F12" s="36">
        <v>14500.0</v>
      </c>
      <c r="G12" s="36"/>
      <c r="H12" s="36">
        <v>10000.0</v>
      </c>
      <c r="I12" s="38">
        <v>174490.0</v>
      </c>
      <c r="J12" s="38">
        <v>297145.0</v>
      </c>
      <c r="K12" s="38">
        <v>51050.0</v>
      </c>
      <c r="L12" s="38"/>
      <c r="M12" s="38">
        <v>2373925.0</v>
      </c>
      <c r="N12" s="38"/>
      <c r="O12" s="38">
        <v>808245.0</v>
      </c>
      <c r="P12" s="38">
        <v>62960.0</v>
      </c>
      <c r="Q12" s="38">
        <v>6000.0</v>
      </c>
      <c r="R12" s="38">
        <v>4650.0</v>
      </c>
      <c r="S12" s="38"/>
      <c r="T12" s="38"/>
      <c r="U12" s="38">
        <v>10000.0</v>
      </c>
      <c r="V12" s="38"/>
      <c r="W12" s="38">
        <v>24310.0</v>
      </c>
      <c r="X12" s="38">
        <v>5954855.0</v>
      </c>
      <c r="Y12" s="39">
        <f t="shared" si="1"/>
        <v>2.532991583</v>
      </c>
    </row>
    <row r="13" ht="15.0" customHeight="1">
      <c r="A13" s="23" t="s">
        <v>31</v>
      </c>
      <c r="B13" s="35">
        <v>7000.0</v>
      </c>
      <c r="C13" s="35">
        <v>17310.0</v>
      </c>
      <c r="D13" s="35">
        <v>565220.0</v>
      </c>
      <c r="E13" s="35">
        <v>2446960.0</v>
      </c>
      <c r="F13" s="35">
        <v>1000.0</v>
      </c>
      <c r="G13" s="36"/>
      <c r="H13" s="36">
        <v>141000.0</v>
      </c>
      <c r="I13" s="37">
        <v>88445.0</v>
      </c>
      <c r="J13" s="37">
        <v>455865.0</v>
      </c>
      <c r="K13" s="37">
        <v>73200.0</v>
      </c>
      <c r="L13" s="37"/>
      <c r="M13" s="37">
        <v>471125.0</v>
      </c>
      <c r="N13" s="37">
        <v>22500.0</v>
      </c>
      <c r="O13" s="37">
        <v>2500.0</v>
      </c>
      <c r="P13" s="37">
        <v>69750.0</v>
      </c>
      <c r="Q13" s="37">
        <v>13000.0</v>
      </c>
      <c r="R13" s="37">
        <v>292070.0</v>
      </c>
      <c r="S13" s="37">
        <v>10000.0</v>
      </c>
      <c r="T13" s="37"/>
      <c r="U13" s="37">
        <v>88700.0</v>
      </c>
      <c r="V13" s="37"/>
      <c r="W13" s="38">
        <v>21875.0</v>
      </c>
      <c r="X13" s="37">
        <v>4787520.0</v>
      </c>
      <c r="Y13" s="39">
        <f t="shared" si="1"/>
        <v>2.036447212</v>
      </c>
    </row>
    <row r="14" ht="15.0" customHeight="1">
      <c r="A14" s="23" t="s">
        <v>32</v>
      </c>
      <c r="B14" s="35"/>
      <c r="C14" s="35">
        <v>500.0</v>
      </c>
      <c r="D14" s="35">
        <v>20200.0</v>
      </c>
      <c r="E14" s="35">
        <v>62860.0</v>
      </c>
      <c r="F14" s="35"/>
      <c r="G14" s="36"/>
      <c r="H14" s="36"/>
      <c r="I14" s="37">
        <v>1065.0</v>
      </c>
      <c r="J14" s="37">
        <v>9800.0</v>
      </c>
      <c r="K14" s="37">
        <v>700.0</v>
      </c>
      <c r="L14" s="37"/>
      <c r="M14" s="37">
        <v>4000.0</v>
      </c>
      <c r="N14" s="37"/>
      <c r="O14" s="37"/>
      <c r="P14" s="37">
        <v>11180.0</v>
      </c>
      <c r="Q14" s="37"/>
      <c r="R14" s="37">
        <v>30300.0</v>
      </c>
      <c r="S14" s="37">
        <v>2000.0</v>
      </c>
      <c r="T14" s="37"/>
      <c r="U14" s="37">
        <v>9000.0</v>
      </c>
      <c r="V14" s="37">
        <v>700.0</v>
      </c>
      <c r="W14" s="38">
        <v>0.0</v>
      </c>
      <c r="X14" s="37">
        <v>152305.0</v>
      </c>
      <c r="Y14" s="39">
        <f t="shared" si="1"/>
        <v>0.06478533618</v>
      </c>
    </row>
    <row r="15" ht="15.0" customHeight="1">
      <c r="A15" s="23" t="s">
        <v>33</v>
      </c>
      <c r="B15" s="35"/>
      <c r="C15" s="35">
        <v>33810.0</v>
      </c>
      <c r="D15" s="35">
        <v>813085.0</v>
      </c>
      <c r="E15" s="35">
        <v>454025.0</v>
      </c>
      <c r="F15" s="35">
        <v>2000.0</v>
      </c>
      <c r="G15" s="36"/>
      <c r="H15" s="36">
        <v>62100.0</v>
      </c>
      <c r="I15" s="37">
        <v>224235.0</v>
      </c>
      <c r="J15" s="37">
        <v>413025.0</v>
      </c>
      <c r="K15" s="37">
        <v>22500.0</v>
      </c>
      <c r="L15" s="37"/>
      <c r="M15" s="37">
        <v>86700.0</v>
      </c>
      <c r="N15" s="37">
        <v>10300.0</v>
      </c>
      <c r="O15" s="37">
        <v>3000.0</v>
      </c>
      <c r="P15" s="37">
        <v>442760.0</v>
      </c>
      <c r="Q15" s="37">
        <v>7700.0</v>
      </c>
      <c r="R15" s="37">
        <v>550440.0</v>
      </c>
      <c r="S15" s="37">
        <v>27300.0</v>
      </c>
      <c r="T15" s="37"/>
      <c r="U15" s="37">
        <v>43500.0</v>
      </c>
      <c r="V15" s="37">
        <v>200.0</v>
      </c>
      <c r="W15" s="38">
        <v>12950.0</v>
      </c>
      <c r="X15" s="37">
        <v>3209630.0</v>
      </c>
      <c r="Y15" s="39">
        <f t="shared" si="1"/>
        <v>1.365266791</v>
      </c>
    </row>
    <row r="16" ht="15.0" customHeight="1">
      <c r="A16" s="23" t="s">
        <v>34</v>
      </c>
      <c r="B16" s="35">
        <v>9500.0</v>
      </c>
      <c r="C16" s="35">
        <v>28150.0</v>
      </c>
      <c r="D16" s="35">
        <v>194005.0</v>
      </c>
      <c r="E16" s="35">
        <v>140280.0</v>
      </c>
      <c r="F16" s="35"/>
      <c r="G16" s="36"/>
      <c r="H16" s="36">
        <v>26840.0</v>
      </c>
      <c r="I16" s="37">
        <v>91440.0</v>
      </c>
      <c r="J16" s="37">
        <v>294965.0</v>
      </c>
      <c r="K16" s="37">
        <v>171515.0</v>
      </c>
      <c r="L16" s="37"/>
      <c r="M16" s="37">
        <v>267870.0</v>
      </c>
      <c r="N16" s="37">
        <v>2000.0</v>
      </c>
      <c r="O16" s="37">
        <v>92200.0</v>
      </c>
      <c r="P16" s="37">
        <v>116500.0</v>
      </c>
      <c r="Q16" s="37">
        <v>320.0</v>
      </c>
      <c r="R16" s="37">
        <v>80960.0</v>
      </c>
      <c r="S16" s="37">
        <v>3000.0</v>
      </c>
      <c r="T16" s="37"/>
      <c r="U16" s="37">
        <v>1188570.0</v>
      </c>
      <c r="V16" s="37"/>
      <c r="W16" s="38">
        <v>53960.0</v>
      </c>
      <c r="X16" s="37">
        <v>2762075.0</v>
      </c>
      <c r="Y16" s="39">
        <f t="shared" si="1"/>
        <v>1.174892206</v>
      </c>
    </row>
    <row r="17" ht="15.0" customHeight="1">
      <c r="A17" s="23" t="s">
        <v>35</v>
      </c>
      <c r="B17" s="35"/>
      <c r="C17" s="35">
        <v>11205.0</v>
      </c>
      <c r="D17" s="35">
        <v>233770.0</v>
      </c>
      <c r="E17" s="35">
        <v>2571835.0</v>
      </c>
      <c r="F17" s="35">
        <v>13100.0</v>
      </c>
      <c r="G17" s="36"/>
      <c r="H17" s="36">
        <v>284350.0</v>
      </c>
      <c r="I17" s="37">
        <v>93030.0</v>
      </c>
      <c r="J17" s="37">
        <v>333920.0</v>
      </c>
      <c r="K17" s="37">
        <v>32250.0</v>
      </c>
      <c r="L17" s="37"/>
      <c r="M17" s="37">
        <v>176310.0</v>
      </c>
      <c r="N17" s="37">
        <v>16700.0</v>
      </c>
      <c r="O17" s="37">
        <v>42210.0</v>
      </c>
      <c r="P17" s="37">
        <v>36700.0</v>
      </c>
      <c r="Q17" s="37">
        <v>6300.0</v>
      </c>
      <c r="R17" s="37">
        <v>316965.0</v>
      </c>
      <c r="S17" s="37">
        <v>5840.0</v>
      </c>
      <c r="T17" s="37"/>
      <c r="U17" s="37">
        <v>100100.0</v>
      </c>
      <c r="V17" s="37"/>
      <c r="W17" s="38">
        <v>27640.0</v>
      </c>
      <c r="X17" s="37">
        <v>4302225.0</v>
      </c>
      <c r="Y17" s="39">
        <f t="shared" si="1"/>
        <v>1.830019323</v>
      </c>
    </row>
    <row r="18" ht="15.0" customHeight="1">
      <c r="A18" s="23" t="s">
        <v>36</v>
      </c>
      <c r="B18" s="35">
        <v>2500.0</v>
      </c>
      <c r="C18" s="35">
        <v>6765.0</v>
      </c>
      <c r="D18" s="35">
        <v>49100.0</v>
      </c>
      <c r="E18" s="35">
        <v>16500.0</v>
      </c>
      <c r="F18" s="35"/>
      <c r="G18" s="36"/>
      <c r="H18" s="36">
        <v>124950.0</v>
      </c>
      <c r="I18" s="37">
        <v>8435.0</v>
      </c>
      <c r="J18" s="37">
        <v>1000.0</v>
      </c>
      <c r="K18" s="37"/>
      <c r="L18" s="37"/>
      <c r="M18" s="37"/>
      <c r="N18" s="37">
        <v>13750.0</v>
      </c>
      <c r="O18" s="37"/>
      <c r="P18" s="37">
        <v>17050.0</v>
      </c>
      <c r="Q18" s="37"/>
      <c r="R18" s="37">
        <v>89250.0</v>
      </c>
      <c r="S18" s="37">
        <v>800.0</v>
      </c>
      <c r="T18" s="37"/>
      <c r="U18" s="37">
        <v>22100.0</v>
      </c>
      <c r="V18" s="37"/>
      <c r="W18" s="38">
        <v>5515.0</v>
      </c>
      <c r="X18" s="37">
        <v>357715.0</v>
      </c>
      <c r="Y18" s="39">
        <f t="shared" si="1"/>
        <v>0.1521597225</v>
      </c>
    </row>
    <row r="19" ht="15.0" customHeight="1">
      <c r="A19" s="23" t="s">
        <v>37</v>
      </c>
      <c r="B19" s="35"/>
      <c r="C19" s="35">
        <v>1000.0</v>
      </c>
      <c r="D19" s="35"/>
      <c r="E19" s="35">
        <v>10500.0</v>
      </c>
      <c r="F19" s="35">
        <v>500.0</v>
      </c>
      <c r="G19" s="36"/>
      <c r="H19" s="36"/>
      <c r="I19" s="37">
        <v>23750.0</v>
      </c>
      <c r="J19" s="37">
        <v>24200.0</v>
      </c>
      <c r="K19" s="37">
        <v>750.0</v>
      </c>
      <c r="L19" s="37"/>
      <c r="M19" s="37">
        <v>1050.0</v>
      </c>
      <c r="N19" s="37"/>
      <c r="O19" s="37"/>
      <c r="P19" s="37"/>
      <c r="Q19" s="37"/>
      <c r="R19" s="37"/>
      <c r="S19" s="37"/>
      <c r="T19" s="37"/>
      <c r="U19" s="37"/>
      <c r="V19" s="37"/>
      <c r="W19" s="38">
        <v>13000.0</v>
      </c>
      <c r="X19" s="37">
        <v>74750.0</v>
      </c>
      <c r="Y19" s="39">
        <f t="shared" si="1"/>
        <v>0.03179609257</v>
      </c>
    </row>
    <row r="20" ht="15.0" customHeight="1">
      <c r="A20" s="23" t="s">
        <v>38</v>
      </c>
      <c r="B20" s="35">
        <v>1000.0</v>
      </c>
      <c r="C20" s="35">
        <v>12000.0</v>
      </c>
      <c r="D20" s="35">
        <v>252100.0</v>
      </c>
      <c r="E20" s="35">
        <v>2752025.0</v>
      </c>
      <c r="F20" s="35">
        <v>3000.0</v>
      </c>
      <c r="G20" s="36"/>
      <c r="H20" s="36">
        <v>414405.0</v>
      </c>
      <c r="I20" s="37">
        <v>77150.0</v>
      </c>
      <c r="J20" s="37">
        <v>487400.0</v>
      </c>
      <c r="K20" s="37">
        <v>47650.0</v>
      </c>
      <c r="L20" s="37"/>
      <c r="M20" s="37">
        <v>206175.0</v>
      </c>
      <c r="N20" s="37">
        <v>64500.0</v>
      </c>
      <c r="O20" s="37">
        <v>11500.0</v>
      </c>
      <c r="P20" s="37">
        <v>177750.0</v>
      </c>
      <c r="Q20" s="37">
        <v>2000.0</v>
      </c>
      <c r="R20" s="37">
        <v>47450.0</v>
      </c>
      <c r="S20" s="37">
        <v>14700.0</v>
      </c>
      <c r="T20" s="37"/>
      <c r="U20" s="37">
        <v>150700.0</v>
      </c>
      <c r="V20" s="37"/>
      <c r="W20" s="38">
        <v>9250.0</v>
      </c>
      <c r="X20" s="37">
        <v>4730755.0</v>
      </c>
      <c r="Y20" s="39">
        <f t="shared" si="1"/>
        <v>2.012301323</v>
      </c>
    </row>
    <row r="21" ht="15.0" customHeight="1">
      <c r="A21" s="23" t="s">
        <v>39</v>
      </c>
      <c r="B21" s="35"/>
      <c r="C21" s="35">
        <v>8010.0</v>
      </c>
      <c r="D21" s="35">
        <v>121000.0</v>
      </c>
      <c r="E21" s="35">
        <v>2991340.0</v>
      </c>
      <c r="F21" s="35">
        <v>2000.0</v>
      </c>
      <c r="G21" s="36"/>
      <c r="H21" s="36">
        <v>97000.0</v>
      </c>
      <c r="I21" s="37">
        <v>82620.0</v>
      </c>
      <c r="J21" s="37">
        <v>810750.0</v>
      </c>
      <c r="K21" s="37">
        <v>62000.0</v>
      </c>
      <c r="L21" s="37"/>
      <c r="M21" s="37">
        <v>174000.0</v>
      </c>
      <c r="N21" s="37">
        <v>16000.0</v>
      </c>
      <c r="O21" s="37">
        <v>10300.0</v>
      </c>
      <c r="P21" s="37">
        <v>32750.0</v>
      </c>
      <c r="Q21" s="37">
        <v>1000.0</v>
      </c>
      <c r="R21" s="37">
        <v>15500.0</v>
      </c>
      <c r="S21" s="37">
        <v>3000.0</v>
      </c>
      <c r="T21" s="37"/>
      <c r="U21" s="37">
        <v>138300.0</v>
      </c>
      <c r="V21" s="37"/>
      <c r="W21" s="38">
        <v>45075.0</v>
      </c>
      <c r="X21" s="37">
        <v>4610645.0</v>
      </c>
      <c r="Y21" s="39">
        <f t="shared" si="1"/>
        <v>1.961210639</v>
      </c>
    </row>
    <row r="22" ht="15.0" customHeight="1">
      <c r="A22" s="23" t="s">
        <v>40</v>
      </c>
      <c r="B22" s="35">
        <v>5000.0</v>
      </c>
      <c r="C22" s="35">
        <v>450.0</v>
      </c>
      <c r="D22" s="35">
        <v>47220.0</v>
      </c>
      <c r="E22" s="35">
        <v>7000.0</v>
      </c>
      <c r="F22" s="35"/>
      <c r="G22" s="36"/>
      <c r="H22" s="36">
        <v>253975.0</v>
      </c>
      <c r="I22" s="37">
        <v>11100.0</v>
      </c>
      <c r="J22" s="37"/>
      <c r="K22" s="37"/>
      <c r="L22" s="37"/>
      <c r="M22" s="37">
        <v>22800.0</v>
      </c>
      <c r="N22" s="37">
        <v>485930.0</v>
      </c>
      <c r="O22" s="37"/>
      <c r="P22" s="37">
        <v>527090.0</v>
      </c>
      <c r="Q22" s="37">
        <v>8000.0</v>
      </c>
      <c r="R22" s="37">
        <v>781350.0</v>
      </c>
      <c r="S22" s="37">
        <v>297720.0</v>
      </c>
      <c r="T22" s="37"/>
      <c r="U22" s="37">
        <v>142250.0</v>
      </c>
      <c r="V22" s="37"/>
      <c r="W22" s="38">
        <v>11300.0</v>
      </c>
      <c r="X22" s="37">
        <v>2601185.0</v>
      </c>
      <c r="Y22" s="39">
        <f t="shared" si="1"/>
        <v>1.106455104</v>
      </c>
    </row>
    <row r="23" ht="15.0" customHeight="1">
      <c r="A23" s="23" t="s">
        <v>41</v>
      </c>
      <c r="B23" s="35"/>
      <c r="C23" s="35"/>
      <c r="D23" s="35">
        <v>23500.0</v>
      </c>
      <c r="E23" s="35">
        <v>537000.0</v>
      </c>
      <c r="F23" s="35">
        <v>500.0</v>
      </c>
      <c r="G23" s="36"/>
      <c r="H23" s="36"/>
      <c r="I23" s="37">
        <v>9000.0</v>
      </c>
      <c r="J23" s="37">
        <v>59600.0</v>
      </c>
      <c r="K23" s="37">
        <v>10500.0</v>
      </c>
      <c r="L23" s="37"/>
      <c r="M23" s="37">
        <v>15550.0</v>
      </c>
      <c r="N23" s="37"/>
      <c r="O23" s="37"/>
      <c r="P23" s="37">
        <v>1000.0</v>
      </c>
      <c r="Q23" s="37"/>
      <c r="R23" s="37"/>
      <c r="S23" s="37">
        <v>1000.0</v>
      </c>
      <c r="T23" s="37"/>
      <c r="U23" s="37"/>
      <c r="V23" s="37"/>
      <c r="W23" s="38">
        <v>0.0</v>
      </c>
      <c r="X23" s="37">
        <v>657650.0</v>
      </c>
      <c r="Y23" s="39">
        <f t="shared" si="1"/>
        <v>0.2797418098</v>
      </c>
    </row>
    <row r="24" ht="15.0" customHeight="1">
      <c r="A24" s="23" t="s">
        <v>42</v>
      </c>
      <c r="B24" s="35"/>
      <c r="C24" s="35">
        <v>56450.0</v>
      </c>
      <c r="D24" s="35">
        <v>123700.0</v>
      </c>
      <c r="E24" s="35">
        <v>2072880.0</v>
      </c>
      <c r="F24" s="35">
        <v>2000.0</v>
      </c>
      <c r="G24" s="36"/>
      <c r="H24" s="36">
        <v>3000.0</v>
      </c>
      <c r="I24" s="37">
        <v>40610.0</v>
      </c>
      <c r="J24" s="37">
        <v>378000.0</v>
      </c>
      <c r="K24" s="37">
        <v>46000.0</v>
      </c>
      <c r="L24" s="37"/>
      <c r="M24" s="37">
        <v>64500.0</v>
      </c>
      <c r="N24" s="37">
        <v>2000.0</v>
      </c>
      <c r="O24" s="37">
        <v>27500.0</v>
      </c>
      <c r="P24" s="37">
        <v>30000.0</v>
      </c>
      <c r="Q24" s="37">
        <v>4000.0</v>
      </c>
      <c r="R24" s="37">
        <v>12600.0</v>
      </c>
      <c r="S24" s="37">
        <v>10600.0</v>
      </c>
      <c r="T24" s="37"/>
      <c r="U24" s="37">
        <v>17000.0</v>
      </c>
      <c r="V24" s="37"/>
      <c r="W24" s="38">
        <v>5025.0</v>
      </c>
      <c r="X24" s="37">
        <v>2895865.0</v>
      </c>
      <c r="Y24" s="39">
        <f t="shared" si="1"/>
        <v>1.231801895</v>
      </c>
    </row>
    <row r="25" ht="15.0" customHeight="1">
      <c r="A25" s="23" t="s">
        <v>43</v>
      </c>
      <c r="B25" s="35"/>
      <c r="C25" s="35"/>
      <c r="D25" s="35"/>
      <c r="E25" s="35"/>
      <c r="F25" s="35"/>
      <c r="G25" s="36"/>
      <c r="H25" s="36"/>
      <c r="I25" s="37"/>
      <c r="J25" s="37">
        <v>500.0</v>
      </c>
      <c r="K25" s="37"/>
      <c r="L25" s="37"/>
      <c r="M25" s="37">
        <v>300.0</v>
      </c>
      <c r="N25" s="37"/>
      <c r="O25" s="37"/>
      <c r="P25" s="37"/>
      <c r="Q25" s="37"/>
      <c r="R25" s="37">
        <v>7381.0</v>
      </c>
      <c r="S25" s="37"/>
      <c r="T25" s="37"/>
      <c r="U25" s="37"/>
      <c r="V25" s="37"/>
      <c r="W25" s="38">
        <v>0.0</v>
      </c>
      <c r="X25" s="37">
        <v>8181.0</v>
      </c>
      <c r="Y25" s="39">
        <f t="shared" si="1"/>
        <v>0.003479917503</v>
      </c>
    </row>
    <row r="26" ht="15.0" customHeight="1">
      <c r="A26" s="23" t="s">
        <v>44</v>
      </c>
      <c r="B26" s="35">
        <v>49000.0</v>
      </c>
      <c r="C26" s="35">
        <v>4000.0</v>
      </c>
      <c r="D26" s="35">
        <v>263500.0</v>
      </c>
      <c r="E26" s="35">
        <v>66200.0</v>
      </c>
      <c r="F26" s="35"/>
      <c r="G26" s="36"/>
      <c r="H26" s="36">
        <v>210000.0</v>
      </c>
      <c r="I26" s="37">
        <v>20500.0</v>
      </c>
      <c r="J26" s="37">
        <v>218100.0</v>
      </c>
      <c r="K26" s="37">
        <v>19000.0</v>
      </c>
      <c r="L26" s="37"/>
      <c r="M26" s="37">
        <v>176500.0</v>
      </c>
      <c r="N26" s="37">
        <v>32000.0</v>
      </c>
      <c r="O26" s="37">
        <v>24000.0</v>
      </c>
      <c r="P26" s="37">
        <v>160000.0</v>
      </c>
      <c r="Q26" s="37"/>
      <c r="R26" s="37">
        <v>15000.0</v>
      </c>
      <c r="S26" s="37">
        <v>62000.0</v>
      </c>
      <c r="T26" s="37"/>
      <c r="U26" s="37">
        <v>229000.0</v>
      </c>
      <c r="V26" s="37"/>
      <c r="W26" s="38">
        <v>91000.0</v>
      </c>
      <c r="X26" s="37">
        <v>1639800.0</v>
      </c>
      <c r="Y26" s="39">
        <f t="shared" si="1"/>
        <v>0.6975148174</v>
      </c>
    </row>
    <row r="27" ht="15.0" customHeight="1">
      <c r="A27" s="23" t="s">
        <v>45</v>
      </c>
      <c r="B27" s="35">
        <v>13000.0</v>
      </c>
      <c r="C27" s="35">
        <v>391079.0</v>
      </c>
      <c r="D27" s="35">
        <v>397125.0</v>
      </c>
      <c r="E27" s="35">
        <v>1015500.0</v>
      </c>
      <c r="F27" s="35">
        <v>5000.0</v>
      </c>
      <c r="G27" s="36"/>
      <c r="H27" s="36">
        <v>38250.0</v>
      </c>
      <c r="I27" s="37">
        <v>181185.0</v>
      </c>
      <c r="J27" s="37">
        <v>356250.0</v>
      </c>
      <c r="K27" s="37">
        <v>151000.0</v>
      </c>
      <c r="L27" s="37"/>
      <c r="M27" s="37">
        <v>339600.0</v>
      </c>
      <c r="N27" s="37">
        <v>17000.0</v>
      </c>
      <c r="O27" s="37">
        <v>49450.0</v>
      </c>
      <c r="P27" s="37">
        <v>16000.0</v>
      </c>
      <c r="Q27" s="37"/>
      <c r="R27" s="37">
        <v>14000.0</v>
      </c>
      <c r="S27" s="37">
        <v>4000.0</v>
      </c>
      <c r="T27" s="37"/>
      <c r="U27" s="37">
        <v>32000.0</v>
      </c>
      <c r="V27" s="37"/>
      <c r="W27" s="38">
        <v>43850.0</v>
      </c>
      <c r="X27" s="37">
        <v>3064289.0</v>
      </c>
      <c r="Y27" s="39">
        <f t="shared" si="1"/>
        <v>1.303443702</v>
      </c>
    </row>
    <row r="28" ht="15.0" customHeight="1">
      <c r="A28" s="23" t="s">
        <v>46</v>
      </c>
      <c r="B28" s="35"/>
      <c r="C28" s="35">
        <v>5430.0</v>
      </c>
      <c r="D28" s="35">
        <v>475.0</v>
      </c>
      <c r="E28" s="35"/>
      <c r="F28" s="35"/>
      <c r="G28" s="36"/>
      <c r="H28" s="36">
        <v>1000.0</v>
      </c>
      <c r="I28" s="37">
        <v>350.0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8">
        <v>0.0</v>
      </c>
      <c r="X28" s="37">
        <v>7255.0</v>
      </c>
      <c r="Y28" s="39">
        <f t="shared" si="1"/>
        <v>0.003086028784</v>
      </c>
    </row>
    <row r="29" ht="15.0" customHeight="1">
      <c r="A29" s="23" t="s">
        <v>47</v>
      </c>
      <c r="B29" s="35">
        <v>3000.0</v>
      </c>
      <c r="C29" s="35">
        <v>500.0</v>
      </c>
      <c r="D29" s="35">
        <v>247825.0</v>
      </c>
      <c r="E29" s="35">
        <v>969925.0</v>
      </c>
      <c r="F29" s="35">
        <v>500.0</v>
      </c>
      <c r="G29" s="36"/>
      <c r="H29" s="36">
        <v>254800.0</v>
      </c>
      <c r="I29" s="37">
        <v>21700.0</v>
      </c>
      <c r="J29" s="37">
        <v>180200.0</v>
      </c>
      <c r="K29" s="37">
        <v>8000.0</v>
      </c>
      <c r="L29" s="37"/>
      <c r="M29" s="37">
        <v>55000.0</v>
      </c>
      <c r="N29" s="37">
        <v>84680.0</v>
      </c>
      <c r="O29" s="37">
        <v>2500.0</v>
      </c>
      <c r="P29" s="37">
        <v>88250.0</v>
      </c>
      <c r="Q29" s="37">
        <v>11625.0</v>
      </c>
      <c r="R29" s="37">
        <v>27450.0</v>
      </c>
      <c r="S29" s="37">
        <v>74000.0</v>
      </c>
      <c r="T29" s="37"/>
      <c r="U29" s="37">
        <v>90950.0</v>
      </c>
      <c r="V29" s="37"/>
      <c r="W29" s="38">
        <v>2250.0</v>
      </c>
      <c r="X29" s="37">
        <v>2123155.0</v>
      </c>
      <c r="Y29" s="39">
        <f t="shared" si="1"/>
        <v>0.9031174973</v>
      </c>
    </row>
    <row r="30" ht="15.0" customHeight="1">
      <c r="A30" s="23" t="s">
        <v>48</v>
      </c>
      <c r="B30" s="35"/>
      <c r="C30" s="35">
        <v>4000.0</v>
      </c>
      <c r="D30" s="35">
        <v>6000.0</v>
      </c>
      <c r="E30" s="35">
        <v>37000.0</v>
      </c>
      <c r="F30" s="35"/>
      <c r="G30" s="36"/>
      <c r="H30" s="36">
        <v>11000.0</v>
      </c>
      <c r="I30" s="37">
        <v>20150.0</v>
      </c>
      <c r="J30" s="37">
        <v>2000.0</v>
      </c>
      <c r="K30" s="37">
        <v>1000.0</v>
      </c>
      <c r="L30" s="37"/>
      <c r="M30" s="37"/>
      <c r="N30" s="37"/>
      <c r="O30" s="37">
        <v>5000.0</v>
      </c>
      <c r="P30" s="37">
        <v>45500.0</v>
      </c>
      <c r="Q30" s="37"/>
      <c r="R30" s="37">
        <v>49000.0</v>
      </c>
      <c r="S30" s="37"/>
      <c r="T30" s="37">
        <v>11000.0</v>
      </c>
      <c r="U30" s="37">
        <v>11000.0</v>
      </c>
      <c r="V30" s="37"/>
      <c r="W30" s="38">
        <v>2000.0</v>
      </c>
      <c r="X30" s="37">
        <v>204650.0</v>
      </c>
      <c r="Y30" s="39">
        <f t="shared" si="1"/>
        <v>0.08705110829</v>
      </c>
    </row>
    <row r="31" ht="15.0" customHeight="1">
      <c r="A31" s="23" t="s">
        <v>49</v>
      </c>
      <c r="B31" s="35"/>
      <c r="C31" s="35">
        <v>3000.0</v>
      </c>
      <c r="D31" s="35">
        <v>22105.0</v>
      </c>
      <c r="E31" s="35">
        <v>97715.0</v>
      </c>
      <c r="F31" s="35"/>
      <c r="G31" s="36"/>
      <c r="H31" s="36">
        <v>14000.0</v>
      </c>
      <c r="I31" s="37">
        <v>19465.0</v>
      </c>
      <c r="J31" s="37">
        <v>23190.0</v>
      </c>
      <c r="K31" s="37">
        <v>38000.0</v>
      </c>
      <c r="L31" s="37"/>
      <c r="M31" s="37">
        <v>156685.0</v>
      </c>
      <c r="N31" s="37"/>
      <c r="O31" s="37">
        <v>1000.0</v>
      </c>
      <c r="P31" s="37">
        <v>4000.0</v>
      </c>
      <c r="Q31" s="37"/>
      <c r="R31" s="37"/>
      <c r="S31" s="37"/>
      <c r="T31" s="37"/>
      <c r="U31" s="37">
        <v>5000.0</v>
      </c>
      <c r="V31" s="37"/>
      <c r="W31" s="38">
        <v>13605.0</v>
      </c>
      <c r="X31" s="37">
        <v>397765.0</v>
      </c>
      <c r="Y31" s="39">
        <f t="shared" si="1"/>
        <v>0.1691956222</v>
      </c>
    </row>
    <row r="32" ht="15.0" customHeight="1">
      <c r="A32" s="23" t="s">
        <v>50</v>
      </c>
      <c r="B32" s="35"/>
      <c r="C32" s="35">
        <v>4420.0</v>
      </c>
      <c r="D32" s="35">
        <v>34475.0</v>
      </c>
      <c r="E32" s="35">
        <v>80395.0</v>
      </c>
      <c r="F32" s="35">
        <v>5000.0</v>
      </c>
      <c r="G32" s="36"/>
      <c r="H32" s="36">
        <v>3975.0</v>
      </c>
      <c r="I32" s="37">
        <v>5825.0</v>
      </c>
      <c r="J32" s="37">
        <v>8300.0</v>
      </c>
      <c r="K32" s="37">
        <v>1500.0</v>
      </c>
      <c r="L32" s="37"/>
      <c r="M32" s="37">
        <v>16100.0</v>
      </c>
      <c r="N32" s="37"/>
      <c r="O32" s="37">
        <v>4000.0</v>
      </c>
      <c r="P32" s="37">
        <v>2375.0</v>
      </c>
      <c r="Q32" s="37"/>
      <c r="R32" s="37">
        <v>44300.0</v>
      </c>
      <c r="S32" s="37"/>
      <c r="T32" s="37">
        <v>7300.0</v>
      </c>
      <c r="U32" s="37">
        <v>500.0</v>
      </c>
      <c r="V32" s="37"/>
      <c r="W32" s="38">
        <v>15000.0</v>
      </c>
      <c r="X32" s="37">
        <v>233465.0</v>
      </c>
      <c r="Y32" s="39">
        <f t="shared" si="1"/>
        <v>0.09930802345</v>
      </c>
    </row>
    <row r="33" ht="15.0" customHeight="1">
      <c r="A33" s="23" t="s">
        <v>51</v>
      </c>
      <c r="B33" s="35"/>
      <c r="C33" s="35">
        <v>2000.0</v>
      </c>
      <c r="D33" s="35">
        <v>16500.0</v>
      </c>
      <c r="E33" s="35">
        <v>247850.0</v>
      </c>
      <c r="F33" s="35"/>
      <c r="G33" s="36"/>
      <c r="H33" s="36">
        <v>33500.0</v>
      </c>
      <c r="I33" s="37">
        <v>600110.0</v>
      </c>
      <c r="J33" s="37">
        <v>41750.0</v>
      </c>
      <c r="K33" s="37">
        <v>17000.0</v>
      </c>
      <c r="L33" s="37"/>
      <c r="M33" s="37">
        <v>343540.0</v>
      </c>
      <c r="N33" s="37"/>
      <c r="O33" s="37"/>
      <c r="P33" s="37">
        <v>2000.0</v>
      </c>
      <c r="Q33" s="37"/>
      <c r="R33" s="37">
        <v>1000.0</v>
      </c>
      <c r="S33" s="37"/>
      <c r="T33" s="37"/>
      <c r="U33" s="37"/>
      <c r="V33" s="37"/>
      <c r="W33" s="38">
        <v>3050.0</v>
      </c>
      <c r="X33" s="37">
        <v>1308300.0</v>
      </c>
      <c r="Y33" s="39">
        <f t="shared" si="1"/>
        <v>0.556506059</v>
      </c>
    </row>
    <row r="34" ht="15.0" customHeight="1">
      <c r="A34" s="40" t="s">
        <v>52</v>
      </c>
      <c r="B34" s="36"/>
      <c r="C34" s="36">
        <v>317952.0</v>
      </c>
      <c r="D34" s="36">
        <v>9500.0</v>
      </c>
      <c r="E34" s="36">
        <v>11320.0</v>
      </c>
      <c r="F34" s="36">
        <v>17200.0</v>
      </c>
      <c r="G34" s="36"/>
      <c r="H34" s="36"/>
      <c r="I34" s="38">
        <v>177580.0</v>
      </c>
      <c r="J34" s="38">
        <v>2550.0</v>
      </c>
      <c r="K34" s="38">
        <v>7150.0</v>
      </c>
      <c r="L34" s="38"/>
      <c r="M34" s="38"/>
      <c r="N34" s="38"/>
      <c r="O34" s="38">
        <v>4500.0</v>
      </c>
      <c r="P34" s="38">
        <v>2000.0</v>
      </c>
      <c r="Q34" s="38"/>
      <c r="R34" s="38">
        <v>3000.0</v>
      </c>
      <c r="S34" s="38"/>
      <c r="T34" s="38"/>
      <c r="U34" s="38"/>
      <c r="V34" s="38"/>
      <c r="W34" s="38">
        <v>4100.0</v>
      </c>
      <c r="X34" s="38">
        <v>556852.0</v>
      </c>
      <c r="Y34" s="39">
        <f t="shared" si="1"/>
        <v>0.2368657892</v>
      </c>
    </row>
    <row r="35" ht="15.0" customHeight="1">
      <c r="A35" s="40" t="s">
        <v>54</v>
      </c>
      <c r="B35" s="36"/>
      <c r="C35" s="36">
        <v>262490.0</v>
      </c>
      <c r="D35" s="36">
        <v>3200.0</v>
      </c>
      <c r="E35" s="36"/>
      <c r="F35" s="36">
        <v>1000.0</v>
      </c>
      <c r="G35" s="36"/>
      <c r="H35" s="36"/>
      <c r="I35" s="38">
        <v>84300.0</v>
      </c>
      <c r="J35" s="38"/>
      <c r="K35" s="38">
        <v>500.0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>
        <v>920.0</v>
      </c>
      <c r="X35" s="38">
        <v>352410.0</v>
      </c>
      <c r="Y35" s="39">
        <f t="shared" si="1"/>
        <v>0.149903157</v>
      </c>
    </row>
    <row r="36" ht="15.0" customHeight="1">
      <c r="A36" s="40" t="s">
        <v>55</v>
      </c>
      <c r="B36" s="36"/>
      <c r="C36" s="36">
        <v>132730.0</v>
      </c>
      <c r="D36" s="36">
        <v>2250.0</v>
      </c>
      <c r="E36" s="36"/>
      <c r="F36" s="36"/>
      <c r="G36" s="36"/>
      <c r="H36" s="36"/>
      <c r="I36" s="38">
        <v>6365.0</v>
      </c>
      <c r="J36" s="38"/>
      <c r="K36" s="38">
        <v>250.0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>
        <v>0.0</v>
      </c>
      <c r="X36" s="38">
        <v>141595.0</v>
      </c>
      <c r="Y36" s="39">
        <f t="shared" si="1"/>
        <v>0.0602296686</v>
      </c>
    </row>
    <row r="37" ht="15.0" customHeight="1">
      <c r="A37" s="40" t="s">
        <v>56</v>
      </c>
      <c r="B37" s="36"/>
      <c r="C37" s="36">
        <v>192150.0</v>
      </c>
      <c r="D37" s="36">
        <v>3200.0</v>
      </c>
      <c r="E37" s="36"/>
      <c r="F37" s="36"/>
      <c r="G37" s="36"/>
      <c r="H37" s="36"/>
      <c r="I37" s="38">
        <v>79760.0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>
        <v>600.0</v>
      </c>
      <c r="X37" s="38">
        <v>275710.0</v>
      </c>
      <c r="Y37" s="39">
        <f t="shared" si="1"/>
        <v>0.1172776011</v>
      </c>
    </row>
    <row r="38" ht="15.0" customHeight="1">
      <c r="A38" s="40" t="s">
        <v>57</v>
      </c>
      <c r="B38" s="36"/>
      <c r="C38" s="36">
        <v>104900.0</v>
      </c>
      <c r="D38" s="36">
        <v>1950.0</v>
      </c>
      <c r="E38" s="36"/>
      <c r="F38" s="36"/>
      <c r="G38" s="36"/>
      <c r="H38" s="36"/>
      <c r="I38" s="38">
        <v>1350.0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>
        <v>0.0</v>
      </c>
      <c r="X38" s="38">
        <v>108200.0</v>
      </c>
      <c r="Y38" s="39">
        <f t="shared" si="1"/>
        <v>0.04602457815</v>
      </c>
    </row>
    <row r="39" ht="15.0" customHeight="1">
      <c r="A39" s="40" t="s">
        <v>59</v>
      </c>
      <c r="B39" s="36">
        <v>1000.0</v>
      </c>
      <c r="C39" s="36">
        <v>172134.0</v>
      </c>
      <c r="D39" s="36">
        <v>27565.0</v>
      </c>
      <c r="E39" s="36">
        <v>422048.0</v>
      </c>
      <c r="F39" s="36">
        <v>2000.0</v>
      </c>
      <c r="G39" s="36"/>
      <c r="H39" s="36">
        <v>10600.0</v>
      </c>
      <c r="I39" s="38">
        <v>27265.0</v>
      </c>
      <c r="J39" s="38">
        <v>30700.0</v>
      </c>
      <c r="K39" s="38">
        <v>86940.0</v>
      </c>
      <c r="L39" s="38"/>
      <c r="M39" s="38">
        <v>16200.0</v>
      </c>
      <c r="N39" s="38">
        <v>1000.0</v>
      </c>
      <c r="O39" s="38">
        <v>25200.0</v>
      </c>
      <c r="P39" s="38">
        <v>27900.0</v>
      </c>
      <c r="Q39" s="38">
        <v>4500.0</v>
      </c>
      <c r="R39" s="38">
        <v>55800.0</v>
      </c>
      <c r="S39" s="38"/>
      <c r="T39" s="38"/>
      <c r="U39" s="38">
        <v>76500.0</v>
      </c>
      <c r="V39" s="38"/>
      <c r="W39" s="38">
        <v>6525.0</v>
      </c>
      <c r="X39" s="38">
        <v>993877.0</v>
      </c>
      <c r="Y39" s="39">
        <f t="shared" si="1"/>
        <v>0.4227612722</v>
      </c>
    </row>
    <row r="40" ht="15.0" customHeight="1">
      <c r="A40" s="23" t="s">
        <v>60</v>
      </c>
      <c r="B40" s="35"/>
      <c r="C40" s="35"/>
      <c r="D40" s="35">
        <v>12000.0</v>
      </c>
      <c r="E40" s="35">
        <v>11250.0</v>
      </c>
      <c r="F40" s="35">
        <v>1000.0</v>
      </c>
      <c r="G40" s="36"/>
      <c r="H40" s="36">
        <v>2000.0</v>
      </c>
      <c r="I40" s="37">
        <v>3400.0</v>
      </c>
      <c r="J40" s="37">
        <v>17675.0</v>
      </c>
      <c r="K40" s="37">
        <v>9600.0</v>
      </c>
      <c r="L40" s="37"/>
      <c r="M40" s="37">
        <v>3650.0</v>
      </c>
      <c r="N40" s="37"/>
      <c r="O40" s="37">
        <v>3250.0</v>
      </c>
      <c r="P40" s="37">
        <v>3000.0</v>
      </c>
      <c r="Q40" s="37"/>
      <c r="R40" s="37"/>
      <c r="S40" s="37"/>
      <c r="T40" s="37"/>
      <c r="U40" s="37"/>
      <c r="V40" s="37"/>
      <c r="W40" s="38">
        <v>63900.0</v>
      </c>
      <c r="X40" s="37">
        <v>130725.0</v>
      </c>
      <c r="Y40" s="39">
        <f t="shared" si="1"/>
        <v>0.0556059425</v>
      </c>
    </row>
    <row r="41" ht="15.0" customHeight="1">
      <c r="A41" s="23" t="s">
        <v>61</v>
      </c>
      <c r="B41" s="35">
        <v>5000.0</v>
      </c>
      <c r="C41" s="35"/>
      <c r="D41" s="35">
        <v>120500.0</v>
      </c>
      <c r="E41" s="35">
        <v>34500.0</v>
      </c>
      <c r="F41" s="35"/>
      <c r="G41" s="36"/>
      <c r="H41" s="36">
        <v>7000.0</v>
      </c>
      <c r="I41" s="37">
        <v>5400.0</v>
      </c>
      <c r="J41" s="37">
        <v>8500.0</v>
      </c>
      <c r="K41" s="37"/>
      <c r="L41" s="37"/>
      <c r="M41" s="37">
        <v>23200.0</v>
      </c>
      <c r="N41" s="37">
        <v>7000.0</v>
      </c>
      <c r="O41" s="37">
        <v>6500.0</v>
      </c>
      <c r="P41" s="37">
        <v>500.0</v>
      </c>
      <c r="Q41" s="37"/>
      <c r="R41" s="37">
        <v>1002015.0</v>
      </c>
      <c r="S41" s="37"/>
      <c r="T41" s="37">
        <v>3000.0</v>
      </c>
      <c r="U41" s="37">
        <v>8000.0</v>
      </c>
      <c r="V41" s="37"/>
      <c r="W41" s="38">
        <v>39000.0</v>
      </c>
      <c r="X41" s="37">
        <v>1270115.0</v>
      </c>
      <c r="Y41" s="39">
        <f t="shared" si="1"/>
        <v>0.5402634665</v>
      </c>
    </row>
    <row r="42" ht="15.0" customHeight="1">
      <c r="A42" s="23" t="s">
        <v>62</v>
      </c>
      <c r="B42" s="35"/>
      <c r="C42" s="35">
        <v>31210.0</v>
      </c>
      <c r="D42" s="35">
        <v>11100.0</v>
      </c>
      <c r="E42" s="35">
        <v>400.0</v>
      </c>
      <c r="F42" s="35"/>
      <c r="G42" s="36"/>
      <c r="H42" s="36"/>
      <c r="I42" s="37">
        <v>336555.0</v>
      </c>
      <c r="J42" s="37"/>
      <c r="K42" s="37">
        <v>145525.0</v>
      </c>
      <c r="L42" s="37"/>
      <c r="M42" s="37">
        <v>3700.0</v>
      </c>
      <c r="N42" s="37"/>
      <c r="O42" s="37">
        <v>17450.0</v>
      </c>
      <c r="P42" s="37"/>
      <c r="Q42" s="37"/>
      <c r="R42" s="37"/>
      <c r="S42" s="37"/>
      <c r="T42" s="37"/>
      <c r="U42" s="37"/>
      <c r="V42" s="37"/>
      <c r="W42" s="38">
        <v>3150.0</v>
      </c>
      <c r="X42" s="37">
        <v>549090.0</v>
      </c>
      <c r="Y42" s="39">
        <f t="shared" si="1"/>
        <v>0.2335640999</v>
      </c>
    </row>
    <row r="43" ht="15.0" customHeight="1">
      <c r="A43" s="23" t="s">
        <v>63</v>
      </c>
      <c r="B43" s="35"/>
      <c r="C43" s="35">
        <v>25668.0</v>
      </c>
      <c r="D43" s="35">
        <v>9080.0</v>
      </c>
      <c r="E43" s="35">
        <v>1145.0</v>
      </c>
      <c r="F43" s="35"/>
      <c r="G43" s="36"/>
      <c r="H43" s="36"/>
      <c r="I43" s="37">
        <v>3794.0</v>
      </c>
      <c r="J43" s="37"/>
      <c r="K43" s="37">
        <v>1010.0</v>
      </c>
      <c r="L43" s="37"/>
      <c r="M43" s="37"/>
      <c r="N43" s="37"/>
      <c r="O43" s="37">
        <v>300.0</v>
      </c>
      <c r="P43" s="37"/>
      <c r="Q43" s="37"/>
      <c r="R43" s="37"/>
      <c r="S43" s="37"/>
      <c r="T43" s="37"/>
      <c r="U43" s="37"/>
      <c r="V43" s="37"/>
      <c r="W43" s="38">
        <v>0.0</v>
      </c>
      <c r="X43" s="37">
        <v>40997.0</v>
      </c>
      <c r="Y43" s="39">
        <f t="shared" si="1"/>
        <v>0.01743872117</v>
      </c>
    </row>
    <row r="44" ht="15.0" customHeight="1">
      <c r="A44" s="23" t="s">
        <v>53</v>
      </c>
      <c r="B44" s="35"/>
      <c r="C44" s="35"/>
      <c r="D44" s="35">
        <v>2000.0</v>
      </c>
      <c r="E44" s="35"/>
      <c r="F44" s="35"/>
      <c r="G44" s="36"/>
      <c r="H44" s="36">
        <v>9000.0</v>
      </c>
      <c r="I44" s="37"/>
      <c r="J44" s="37"/>
      <c r="K44" s="37"/>
      <c r="L44" s="37"/>
      <c r="M44" s="37"/>
      <c r="N44" s="37">
        <v>420.0</v>
      </c>
      <c r="O44" s="37"/>
      <c r="P44" s="37">
        <v>2000.0</v>
      </c>
      <c r="Q44" s="37"/>
      <c r="R44" s="37">
        <v>1350.0</v>
      </c>
      <c r="S44" s="37">
        <v>15880.0</v>
      </c>
      <c r="T44" s="37">
        <v>3000.0</v>
      </c>
      <c r="U44" s="37"/>
      <c r="V44" s="37"/>
      <c r="W44" s="38">
        <v>8100.0</v>
      </c>
      <c r="X44" s="37">
        <v>41750.0</v>
      </c>
      <c r="Y44" s="39">
        <f t="shared" si="1"/>
        <v>0.0177590216</v>
      </c>
    </row>
    <row r="45" ht="15.0" customHeight="1">
      <c r="A45" s="23" t="s">
        <v>64</v>
      </c>
      <c r="B45" s="35"/>
      <c r="C45" s="35">
        <v>106143.0</v>
      </c>
      <c r="D45" s="35">
        <v>184207.0</v>
      </c>
      <c r="E45" s="35">
        <v>4875.0</v>
      </c>
      <c r="F45" s="35"/>
      <c r="G45" s="36"/>
      <c r="H45" s="36"/>
      <c r="I45" s="37">
        <v>28940.0</v>
      </c>
      <c r="J45" s="37"/>
      <c r="K45" s="37">
        <v>925.0</v>
      </c>
      <c r="L45" s="37"/>
      <c r="M45" s="37">
        <v>1000.0</v>
      </c>
      <c r="N45" s="37"/>
      <c r="O45" s="37"/>
      <c r="P45" s="37">
        <v>9500.0</v>
      </c>
      <c r="Q45" s="37"/>
      <c r="R45" s="37"/>
      <c r="S45" s="37"/>
      <c r="T45" s="37"/>
      <c r="U45" s="37"/>
      <c r="V45" s="37"/>
      <c r="W45" s="38">
        <v>700.0</v>
      </c>
      <c r="X45" s="37">
        <v>336290.0</v>
      </c>
      <c r="Y45" s="39">
        <f t="shared" si="1"/>
        <v>0.1430462605</v>
      </c>
    </row>
    <row r="46" ht="15.0" customHeight="1">
      <c r="A46" s="23" t="s">
        <v>65</v>
      </c>
      <c r="B46" s="35"/>
      <c r="C46" s="35">
        <v>17778.0</v>
      </c>
      <c r="D46" s="35">
        <v>120.0</v>
      </c>
      <c r="E46" s="35"/>
      <c r="F46" s="35"/>
      <c r="G46" s="36"/>
      <c r="H46" s="36"/>
      <c r="I46" s="37">
        <v>3335.0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8">
        <v>0.0</v>
      </c>
      <c r="X46" s="37">
        <v>21233.0</v>
      </c>
      <c r="Y46" s="39">
        <f t="shared" si="1"/>
        <v>0.009031791754</v>
      </c>
    </row>
    <row r="47" ht="15.0" customHeight="1">
      <c r="A47" s="23" t="s">
        <v>66</v>
      </c>
      <c r="B47" s="35"/>
      <c r="C47" s="35"/>
      <c r="D47" s="35"/>
      <c r="E47" s="35">
        <v>1500.0</v>
      </c>
      <c r="F47" s="35"/>
      <c r="G47" s="36"/>
      <c r="H47" s="36"/>
      <c r="I47" s="37"/>
      <c r="J47" s="37"/>
      <c r="K47" s="37"/>
      <c r="L47" s="37"/>
      <c r="M47" s="37"/>
      <c r="N47" s="37"/>
      <c r="O47" s="37"/>
      <c r="P47" s="37"/>
      <c r="Q47" s="37"/>
      <c r="R47" s="37">
        <v>13000.0</v>
      </c>
      <c r="S47" s="37">
        <v>325.0</v>
      </c>
      <c r="T47" s="37"/>
      <c r="U47" s="37"/>
      <c r="V47" s="37"/>
      <c r="W47" s="38">
        <v>0.0</v>
      </c>
      <c r="X47" s="37">
        <v>14825.0</v>
      </c>
      <c r="Y47" s="39">
        <f t="shared" si="1"/>
        <v>0.006306047791</v>
      </c>
    </row>
    <row r="48" ht="15.0" customHeight="1">
      <c r="A48" s="23" t="s">
        <v>67</v>
      </c>
      <c r="B48" s="35"/>
      <c r="C48" s="35"/>
      <c r="D48" s="35">
        <v>3000.0</v>
      </c>
      <c r="E48" s="35">
        <v>90600.0</v>
      </c>
      <c r="F48" s="35"/>
      <c r="G48" s="36"/>
      <c r="H48" s="36"/>
      <c r="I48" s="37">
        <v>2800.0</v>
      </c>
      <c r="J48" s="37"/>
      <c r="K48" s="37">
        <v>1000.0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8">
        <v>0.0</v>
      </c>
      <c r="X48" s="37">
        <v>97400.0</v>
      </c>
      <c r="Y48" s="39">
        <f t="shared" si="1"/>
        <v>0.04143062765</v>
      </c>
    </row>
    <row r="49" ht="15.0" customHeight="1">
      <c r="A49" s="23" t="s">
        <v>68</v>
      </c>
      <c r="B49" s="35"/>
      <c r="C49" s="35">
        <v>9635.0</v>
      </c>
      <c r="D49" s="35">
        <v>270.0</v>
      </c>
      <c r="E49" s="35"/>
      <c r="F49" s="35"/>
      <c r="G49" s="36"/>
      <c r="H49" s="36"/>
      <c r="I49" s="37">
        <v>3201.0</v>
      </c>
      <c r="J49" s="37"/>
      <c r="K49" s="37">
        <v>20.0</v>
      </c>
      <c r="L49" s="37"/>
      <c r="M49" s="37"/>
      <c r="N49" s="37"/>
      <c r="O49" s="37"/>
      <c r="P49" s="37"/>
      <c r="Q49" s="37"/>
      <c r="R49" s="37"/>
      <c r="S49" s="37"/>
      <c r="T49" s="37"/>
      <c r="U49" s="37">
        <v>40.0</v>
      </c>
      <c r="V49" s="37"/>
      <c r="W49" s="38">
        <v>0.0</v>
      </c>
      <c r="X49" s="37">
        <v>13166.0</v>
      </c>
      <c r="Y49" s="39">
        <f t="shared" si="1"/>
        <v>0.005600365951</v>
      </c>
    </row>
    <row r="50" ht="15.0" customHeight="1">
      <c r="A50" s="23" t="s">
        <v>69</v>
      </c>
      <c r="B50" s="35"/>
      <c r="C50" s="35">
        <v>63960.0</v>
      </c>
      <c r="D50" s="35">
        <v>600.0</v>
      </c>
      <c r="E50" s="35"/>
      <c r="F50" s="35"/>
      <c r="G50" s="36"/>
      <c r="H50" s="36"/>
      <c r="I50" s="37">
        <v>3670.0</v>
      </c>
      <c r="J50" s="37"/>
      <c r="K50" s="37">
        <v>70.0</v>
      </c>
      <c r="L50" s="37"/>
      <c r="M50" s="37"/>
      <c r="N50" s="37"/>
      <c r="O50" s="37"/>
      <c r="P50" s="37"/>
      <c r="Q50" s="37"/>
      <c r="R50" s="37"/>
      <c r="S50" s="37"/>
      <c r="T50" s="37"/>
      <c r="U50" s="37">
        <v>200.0</v>
      </c>
      <c r="V50" s="37"/>
      <c r="W50" s="38">
        <v>0.0</v>
      </c>
      <c r="X50" s="37">
        <v>68500.0</v>
      </c>
      <c r="Y50" s="39">
        <f t="shared" si="1"/>
        <v>0.0291375564</v>
      </c>
    </row>
    <row r="51" ht="15.0" customHeight="1">
      <c r="A51" s="23" t="s">
        <v>70</v>
      </c>
      <c r="B51" s="35"/>
      <c r="C51" s="35">
        <v>8449.0</v>
      </c>
      <c r="D51" s="35">
        <v>440.0</v>
      </c>
      <c r="E51" s="35"/>
      <c r="F51" s="35"/>
      <c r="G51" s="36"/>
      <c r="H51" s="36"/>
      <c r="I51" s="37">
        <v>1540.0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>
        <v>150.0</v>
      </c>
      <c r="V51" s="37"/>
      <c r="W51" s="38">
        <v>0.0</v>
      </c>
      <c r="X51" s="37">
        <v>10579.0</v>
      </c>
      <c r="Y51" s="39">
        <f t="shared" si="1"/>
        <v>0.00449994466</v>
      </c>
    </row>
    <row r="52" ht="15.0" customHeight="1">
      <c r="A52" s="23" t="s">
        <v>71</v>
      </c>
      <c r="B52" s="35"/>
      <c r="C52" s="35">
        <v>9047.0</v>
      </c>
      <c r="D52" s="35">
        <v>110.0</v>
      </c>
      <c r="E52" s="35"/>
      <c r="F52" s="35"/>
      <c r="G52" s="36"/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>
        <v>75.0</v>
      </c>
      <c r="V52" s="37"/>
      <c r="W52" s="38">
        <v>0.0</v>
      </c>
      <c r="X52" s="37">
        <v>9232.0</v>
      </c>
      <c r="Y52" s="39">
        <f t="shared" si="1"/>
        <v>0.003926976945</v>
      </c>
    </row>
    <row r="53" ht="15.0" customHeight="1">
      <c r="A53" s="23" t="s">
        <v>72</v>
      </c>
      <c r="B53" s="35"/>
      <c r="C53" s="35">
        <v>6496.0</v>
      </c>
      <c r="D53" s="35">
        <v>20.0</v>
      </c>
      <c r="E53" s="35">
        <v>3000.0</v>
      </c>
      <c r="F53" s="35"/>
      <c r="G53" s="36"/>
      <c r="H53" s="36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>
        <v>15.0</v>
      </c>
      <c r="V53" s="37"/>
      <c r="W53" s="38">
        <v>0.0</v>
      </c>
      <c r="X53" s="37">
        <v>9531.0</v>
      </c>
      <c r="Y53" s="39">
        <f t="shared" si="1"/>
        <v>0.004054161315</v>
      </c>
    </row>
    <row r="54" ht="15.0" customHeight="1">
      <c r="A54" s="23" t="s">
        <v>74</v>
      </c>
      <c r="B54" s="35"/>
      <c r="C54" s="35">
        <v>89725.0</v>
      </c>
      <c r="D54" s="35">
        <v>1950.0</v>
      </c>
      <c r="E54" s="35">
        <v>500.0</v>
      </c>
      <c r="F54" s="35"/>
      <c r="G54" s="36"/>
      <c r="H54" s="36"/>
      <c r="I54" s="37">
        <v>500.0</v>
      </c>
      <c r="J54" s="37"/>
      <c r="K54" s="37">
        <v>50.0</v>
      </c>
      <c r="L54" s="37"/>
      <c r="M54" s="37"/>
      <c r="N54" s="37"/>
      <c r="O54" s="37"/>
      <c r="P54" s="37"/>
      <c r="Q54" s="37"/>
      <c r="R54" s="37"/>
      <c r="S54" s="37"/>
      <c r="T54" s="37"/>
      <c r="U54" s="37">
        <v>800.0</v>
      </c>
      <c r="V54" s="37"/>
      <c r="W54" s="38">
        <v>0.0</v>
      </c>
      <c r="X54" s="37">
        <v>93525.0</v>
      </c>
      <c r="Y54" s="39">
        <f t="shared" si="1"/>
        <v>0.03978233522</v>
      </c>
    </row>
    <row r="55" ht="15.0" customHeight="1">
      <c r="A55" s="23" t="s">
        <v>75</v>
      </c>
      <c r="B55" s="35"/>
      <c r="C55" s="35">
        <v>9435.0</v>
      </c>
      <c r="D55" s="35">
        <v>30.0</v>
      </c>
      <c r="E55" s="35"/>
      <c r="F55" s="35"/>
      <c r="G55" s="36"/>
      <c r="H55" s="36"/>
      <c r="I55" s="37">
        <v>375.0</v>
      </c>
      <c r="J55" s="37"/>
      <c r="K55" s="37">
        <v>5.0</v>
      </c>
      <c r="L55" s="37"/>
      <c r="M55" s="37"/>
      <c r="N55" s="37"/>
      <c r="O55" s="37"/>
      <c r="P55" s="37"/>
      <c r="Q55" s="37"/>
      <c r="R55" s="37"/>
      <c r="S55" s="37"/>
      <c r="T55" s="37"/>
      <c r="U55" s="37">
        <v>20.0</v>
      </c>
      <c r="V55" s="37"/>
      <c r="W55" s="38">
        <v>0.0</v>
      </c>
      <c r="X55" s="37">
        <v>9865.0</v>
      </c>
      <c r="Y55" s="39">
        <f t="shared" si="1"/>
        <v>0.004196233488</v>
      </c>
    </row>
    <row r="56" ht="15.0" customHeight="1">
      <c r="A56" s="23" t="s">
        <v>76</v>
      </c>
      <c r="B56" s="35"/>
      <c r="C56" s="35">
        <v>76046.0</v>
      </c>
      <c r="D56" s="35">
        <v>1400.0</v>
      </c>
      <c r="E56" s="35"/>
      <c r="F56" s="35"/>
      <c r="G56" s="36"/>
      <c r="H56" s="36"/>
      <c r="I56" s="37">
        <v>15905.0</v>
      </c>
      <c r="J56" s="37">
        <v>500.0</v>
      </c>
      <c r="K56" s="37">
        <v>50.0</v>
      </c>
      <c r="L56" s="37"/>
      <c r="M56" s="37"/>
      <c r="N56" s="37"/>
      <c r="O56" s="37"/>
      <c r="P56" s="37"/>
      <c r="Q56" s="37"/>
      <c r="R56" s="37"/>
      <c r="S56" s="37"/>
      <c r="T56" s="37"/>
      <c r="U56" s="37">
        <v>100.0</v>
      </c>
      <c r="V56" s="37"/>
      <c r="W56" s="38">
        <v>700.0</v>
      </c>
      <c r="X56" s="37">
        <v>94701.0</v>
      </c>
      <c r="Y56" s="39">
        <f t="shared" si="1"/>
        <v>0.04028256539</v>
      </c>
    </row>
    <row r="57" ht="15.0" customHeight="1">
      <c r="A57" s="23" t="s">
        <v>77</v>
      </c>
      <c r="B57" s="35"/>
      <c r="C57" s="35"/>
      <c r="D57" s="35"/>
      <c r="E57" s="35">
        <v>1000.0</v>
      </c>
      <c r="F57" s="35"/>
      <c r="G57" s="36"/>
      <c r="H57" s="3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8">
        <v>0.0</v>
      </c>
      <c r="X57" s="37">
        <v>1000.0</v>
      </c>
      <c r="Y57" s="39">
        <f t="shared" si="1"/>
        <v>0.0004253657869</v>
      </c>
    </row>
    <row r="58" ht="15.0" customHeight="1">
      <c r="A58" s="23" t="s">
        <v>78</v>
      </c>
      <c r="B58" s="35"/>
      <c r="C58" s="35"/>
      <c r="D58" s="35"/>
      <c r="E58" s="35"/>
      <c r="F58" s="35"/>
      <c r="G58" s="36"/>
      <c r="H58" s="36"/>
      <c r="I58" s="37"/>
      <c r="J58" s="37"/>
      <c r="K58" s="37"/>
      <c r="L58" s="37"/>
      <c r="M58" s="37"/>
      <c r="N58" s="37">
        <v>30000.0</v>
      </c>
      <c r="O58" s="37"/>
      <c r="P58" s="37"/>
      <c r="Q58" s="37"/>
      <c r="R58" s="37"/>
      <c r="S58" s="37">
        <v>700.0</v>
      </c>
      <c r="T58" s="37"/>
      <c r="U58" s="37">
        <v>24000.0</v>
      </c>
      <c r="V58" s="37"/>
      <c r="W58" s="38">
        <v>0.0</v>
      </c>
      <c r="X58" s="37">
        <v>54700.0</v>
      </c>
      <c r="Y58" s="39">
        <f t="shared" si="1"/>
        <v>0.02326750854</v>
      </c>
    </row>
    <row r="59" ht="15.0" customHeight="1">
      <c r="A59" s="23" t="s">
        <v>79</v>
      </c>
      <c r="B59" s="35"/>
      <c r="C59" s="35">
        <v>960.0</v>
      </c>
      <c r="D59" s="35">
        <v>1860.0</v>
      </c>
      <c r="E59" s="35"/>
      <c r="F59" s="35"/>
      <c r="G59" s="36"/>
      <c r="H59" s="36"/>
      <c r="I59" s="37">
        <v>600.0</v>
      </c>
      <c r="J59" s="37">
        <v>600.0</v>
      </c>
      <c r="K59" s="37"/>
      <c r="L59" s="37"/>
      <c r="M59" s="37"/>
      <c r="N59" s="37"/>
      <c r="O59" s="37"/>
      <c r="P59" s="37"/>
      <c r="Q59" s="37"/>
      <c r="R59" s="37">
        <v>29620.0</v>
      </c>
      <c r="S59" s="37"/>
      <c r="T59" s="37"/>
      <c r="U59" s="37"/>
      <c r="V59" s="37"/>
      <c r="W59" s="38">
        <v>1000.0</v>
      </c>
      <c r="X59" s="37">
        <v>34640.0</v>
      </c>
      <c r="Y59" s="39">
        <f t="shared" si="1"/>
        <v>0.01473467086</v>
      </c>
    </row>
    <row r="60" ht="15.0" customHeight="1">
      <c r="A60" s="23" t="s">
        <v>80</v>
      </c>
      <c r="B60" s="35"/>
      <c r="C60" s="35">
        <v>150.0</v>
      </c>
      <c r="D60" s="35">
        <v>290.0</v>
      </c>
      <c r="E60" s="35"/>
      <c r="F60" s="35"/>
      <c r="G60" s="36"/>
      <c r="H60" s="36"/>
      <c r="I60" s="37">
        <v>36160.0</v>
      </c>
      <c r="J60" s="37"/>
      <c r="K60" s="37">
        <v>28515.0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8">
        <v>270.0</v>
      </c>
      <c r="X60" s="37">
        <v>65385.0</v>
      </c>
      <c r="Y60" s="39">
        <f t="shared" si="1"/>
        <v>0.02781254198</v>
      </c>
    </row>
    <row r="61" ht="15.0" customHeight="1">
      <c r="A61" s="23" t="s">
        <v>82</v>
      </c>
      <c r="B61" s="35"/>
      <c r="C61" s="35"/>
      <c r="D61" s="35"/>
      <c r="E61" s="35"/>
      <c r="F61" s="35">
        <v>200.0</v>
      </c>
      <c r="G61" s="36"/>
      <c r="H61" s="36"/>
      <c r="I61" s="37">
        <v>700.0</v>
      </c>
      <c r="J61" s="37"/>
      <c r="K61" s="37"/>
      <c r="L61" s="37"/>
      <c r="M61" s="37"/>
      <c r="N61" s="37"/>
      <c r="O61" s="37"/>
      <c r="P61" s="37"/>
      <c r="Q61" s="37">
        <v>7500.0</v>
      </c>
      <c r="R61" s="37">
        <v>10000.0</v>
      </c>
      <c r="S61" s="37"/>
      <c r="T61" s="37"/>
      <c r="U61" s="37">
        <v>143245.0</v>
      </c>
      <c r="V61" s="37">
        <v>2120592.0</v>
      </c>
      <c r="W61" s="38">
        <v>14550.0</v>
      </c>
      <c r="X61" s="37">
        <v>2296787.0</v>
      </c>
      <c r="Y61" s="39">
        <f t="shared" si="1"/>
        <v>0.9769746097</v>
      </c>
    </row>
    <row r="62" ht="15.0" customHeight="1">
      <c r="A62" s="23" t="s">
        <v>83</v>
      </c>
      <c r="B62" s="35"/>
      <c r="C62" s="35"/>
      <c r="D62" s="35">
        <v>950.0</v>
      </c>
      <c r="E62" s="35">
        <v>2000.0</v>
      </c>
      <c r="F62" s="35">
        <v>150.0</v>
      </c>
      <c r="G62" s="36"/>
      <c r="H62" s="36">
        <v>500.0</v>
      </c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>
        <v>564393.0</v>
      </c>
      <c r="V62" s="37">
        <v>4766.0</v>
      </c>
      <c r="W62" s="38">
        <v>3800.0</v>
      </c>
      <c r="X62" s="37">
        <v>576559.0</v>
      </c>
      <c r="Y62" s="39">
        <f t="shared" si="1"/>
        <v>0.2452484727</v>
      </c>
    </row>
    <row r="63" ht="15.0" customHeight="1">
      <c r="A63" s="23" t="s">
        <v>85</v>
      </c>
      <c r="B63" s="35"/>
      <c r="C63" s="35"/>
      <c r="D63" s="35">
        <v>3000.0</v>
      </c>
      <c r="E63" s="35"/>
      <c r="F63" s="35">
        <v>500.0</v>
      </c>
      <c r="G63" s="36"/>
      <c r="H63" s="36">
        <v>13675.0</v>
      </c>
      <c r="I63" s="37"/>
      <c r="J63" s="37">
        <v>1670.0</v>
      </c>
      <c r="K63" s="37"/>
      <c r="L63" s="37"/>
      <c r="M63" s="37">
        <v>9000.0</v>
      </c>
      <c r="N63" s="37"/>
      <c r="O63" s="37"/>
      <c r="P63" s="37">
        <v>18220.0</v>
      </c>
      <c r="Q63" s="37"/>
      <c r="R63" s="37">
        <v>11620.0</v>
      </c>
      <c r="S63" s="37">
        <v>2675.0</v>
      </c>
      <c r="T63" s="37"/>
      <c r="U63" s="37">
        <v>1789110.0</v>
      </c>
      <c r="V63" s="37"/>
      <c r="W63" s="38">
        <v>4500.0</v>
      </c>
      <c r="X63" s="37">
        <v>1853970.0</v>
      </c>
      <c r="Y63" s="39">
        <f t="shared" si="1"/>
        <v>0.788615408</v>
      </c>
    </row>
    <row r="64" ht="15.0" customHeight="1">
      <c r="A64" s="23" t="s">
        <v>87</v>
      </c>
      <c r="B64" s="35"/>
      <c r="C64" s="35"/>
      <c r="D64" s="35"/>
      <c r="E64" s="35"/>
      <c r="F64" s="35">
        <v>50.0</v>
      </c>
      <c r="G64" s="36"/>
      <c r="H64" s="36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>
        <v>128775.0</v>
      </c>
      <c r="V64" s="37">
        <v>1390.0</v>
      </c>
      <c r="W64" s="38">
        <v>120.0</v>
      </c>
      <c r="X64" s="37">
        <v>130335.0</v>
      </c>
      <c r="Y64" s="39">
        <f t="shared" si="1"/>
        <v>0.05544004984</v>
      </c>
    </row>
    <row r="65" ht="15.0" customHeight="1">
      <c r="A65" s="23" t="s">
        <v>88</v>
      </c>
      <c r="B65" s="35">
        <v>288.0</v>
      </c>
      <c r="C65" s="35"/>
      <c r="D65" s="35">
        <v>18380.0</v>
      </c>
      <c r="E65" s="35">
        <v>76375.0</v>
      </c>
      <c r="F65" s="35">
        <v>60600.0</v>
      </c>
      <c r="G65" s="36"/>
      <c r="H65" s="36"/>
      <c r="I65" s="37">
        <v>3200.0</v>
      </c>
      <c r="J65" s="37">
        <v>4645.0</v>
      </c>
      <c r="K65" s="37">
        <v>500.0</v>
      </c>
      <c r="L65" s="37"/>
      <c r="M65" s="37"/>
      <c r="N65" s="37">
        <v>11760.0</v>
      </c>
      <c r="O65" s="37">
        <v>500.0</v>
      </c>
      <c r="P65" s="37">
        <v>32968.0</v>
      </c>
      <c r="Q65" s="37">
        <v>3000.0</v>
      </c>
      <c r="R65" s="37">
        <v>713660.0</v>
      </c>
      <c r="S65" s="37">
        <v>49516.0</v>
      </c>
      <c r="T65" s="37"/>
      <c r="U65" s="37">
        <v>1566475.0</v>
      </c>
      <c r="V65" s="37">
        <v>46500.0</v>
      </c>
      <c r="W65" s="38">
        <v>232556.0</v>
      </c>
      <c r="X65" s="37">
        <v>2820923.0</v>
      </c>
      <c r="Y65" s="39">
        <f t="shared" si="1"/>
        <v>1.199924132</v>
      </c>
    </row>
    <row r="66" ht="15.0" customHeight="1">
      <c r="A66" s="40" t="s">
        <v>89</v>
      </c>
      <c r="B66" s="36"/>
      <c r="C66" s="36"/>
      <c r="D66" s="36"/>
      <c r="E66" s="36"/>
      <c r="F66" s="36"/>
      <c r="G66" s="36"/>
      <c r="H66" s="36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>
        <v>156414.0</v>
      </c>
      <c r="V66" s="38">
        <v>630.0</v>
      </c>
      <c r="W66" s="38">
        <v>765.0</v>
      </c>
      <c r="X66" s="38">
        <v>157809.0</v>
      </c>
      <c r="Y66" s="39">
        <f t="shared" si="1"/>
        <v>0.06712654947</v>
      </c>
    </row>
    <row r="67" ht="15.0" customHeight="1">
      <c r="A67" s="40" t="s">
        <v>90</v>
      </c>
      <c r="B67" s="36">
        <v>5000.0</v>
      </c>
      <c r="C67" s="36">
        <v>200.0</v>
      </c>
      <c r="D67" s="36">
        <v>11500.0</v>
      </c>
      <c r="E67" s="36">
        <v>221750.0</v>
      </c>
      <c r="F67" s="36"/>
      <c r="G67" s="36">
        <v>2061610.0</v>
      </c>
      <c r="H67" s="36"/>
      <c r="I67" s="38">
        <v>19400.0</v>
      </c>
      <c r="J67" s="38">
        <v>4317832.0</v>
      </c>
      <c r="K67" s="38">
        <v>25000.0</v>
      </c>
      <c r="L67" s="38">
        <v>1179500.0</v>
      </c>
      <c r="M67" s="38">
        <v>220.0</v>
      </c>
      <c r="N67" s="38"/>
      <c r="O67" s="38">
        <v>9000.0</v>
      </c>
      <c r="P67" s="38"/>
      <c r="Q67" s="38"/>
      <c r="R67" s="38"/>
      <c r="S67" s="38"/>
      <c r="T67" s="38">
        <v>1703105.0</v>
      </c>
      <c r="U67" s="38">
        <v>951100.0</v>
      </c>
      <c r="V67" s="38"/>
      <c r="W67" s="38">
        <v>1352000.0</v>
      </c>
      <c r="X67" s="38">
        <v>1.1860217E7</v>
      </c>
      <c r="Y67" s="39">
        <f t="shared" si="1"/>
        <v>5.044930537</v>
      </c>
    </row>
    <row r="68" ht="15.0" customHeight="1">
      <c r="A68" s="23" t="s">
        <v>91</v>
      </c>
      <c r="B68" s="35"/>
      <c r="C68" s="35"/>
      <c r="D68" s="35"/>
      <c r="E68" s="35"/>
      <c r="F68" s="35">
        <v>36300.0</v>
      </c>
      <c r="G68" s="36"/>
      <c r="H68" s="36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>
        <v>4237507.0</v>
      </c>
      <c r="V68" s="37">
        <v>39650.0</v>
      </c>
      <c r="W68" s="38">
        <v>40050.0</v>
      </c>
      <c r="X68" s="37">
        <v>4353507.0</v>
      </c>
      <c r="Y68" s="39">
        <f t="shared" si="1"/>
        <v>1.851832931</v>
      </c>
    </row>
    <row r="69" ht="15.0" customHeight="1">
      <c r="A69" s="23" t="s">
        <v>92</v>
      </c>
      <c r="B69" s="35"/>
      <c r="C69" s="35"/>
      <c r="D69" s="35"/>
      <c r="E69" s="35">
        <v>29000.0</v>
      </c>
      <c r="F69" s="35">
        <v>100.0</v>
      </c>
      <c r="G69" s="36">
        <v>7000.0</v>
      </c>
      <c r="H69" s="36"/>
      <c r="I69" s="37"/>
      <c r="J69" s="37">
        <v>46130.0</v>
      </c>
      <c r="K69" s="37">
        <v>1000.0</v>
      </c>
      <c r="L69" s="37"/>
      <c r="M69" s="37"/>
      <c r="N69" s="37"/>
      <c r="O69" s="37"/>
      <c r="P69" s="37"/>
      <c r="Q69" s="37"/>
      <c r="R69" s="37"/>
      <c r="S69" s="37"/>
      <c r="T69" s="37">
        <v>40000.0</v>
      </c>
      <c r="U69" s="37">
        <v>264095.0</v>
      </c>
      <c r="V69" s="37">
        <v>1795.0</v>
      </c>
      <c r="W69" s="38">
        <v>86050.0</v>
      </c>
      <c r="X69" s="37">
        <v>475170.0</v>
      </c>
      <c r="Y69" s="39">
        <f t="shared" si="1"/>
        <v>0.202121061</v>
      </c>
    </row>
    <row r="70" ht="15.0" customHeight="1">
      <c r="A70" s="23" t="s">
        <v>93</v>
      </c>
      <c r="B70" s="35"/>
      <c r="C70" s="35"/>
      <c r="D70" s="35"/>
      <c r="E70" s="35">
        <v>500.0</v>
      </c>
      <c r="F70" s="35"/>
      <c r="G70" s="36">
        <v>100.0</v>
      </c>
      <c r="H70" s="36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>
        <v>25410.0</v>
      </c>
      <c r="V70" s="37"/>
      <c r="W70" s="38">
        <v>5000.0</v>
      </c>
      <c r="X70" s="37">
        <v>31010.0</v>
      </c>
      <c r="Y70" s="39">
        <f t="shared" si="1"/>
        <v>0.01319059305</v>
      </c>
    </row>
    <row r="71" ht="15.0" customHeight="1">
      <c r="A71" s="23" t="s">
        <v>94</v>
      </c>
      <c r="B71" s="35"/>
      <c r="C71" s="35"/>
      <c r="D71" s="35"/>
      <c r="E71" s="35">
        <v>10000.0</v>
      </c>
      <c r="F71" s="35">
        <v>100.0</v>
      </c>
      <c r="G71" s="36"/>
      <c r="H71" s="36"/>
      <c r="I71" s="37"/>
      <c r="J71" s="37"/>
      <c r="K71" s="37"/>
      <c r="L71" s="37"/>
      <c r="M71" s="37"/>
      <c r="N71" s="37">
        <v>4000.0</v>
      </c>
      <c r="O71" s="37"/>
      <c r="P71" s="37"/>
      <c r="Q71" s="37"/>
      <c r="R71" s="37">
        <v>2000.0</v>
      </c>
      <c r="S71" s="37"/>
      <c r="T71" s="37"/>
      <c r="U71" s="37">
        <v>173725.0</v>
      </c>
      <c r="V71" s="37">
        <v>900.0</v>
      </c>
      <c r="W71" s="38">
        <v>0.0</v>
      </c>
      <c r="X71" s="37">
        <v>190725.0</v>
      </c>
      <c r="Y71" s="39">
        <f t="shared" si="1"/>
        <v>0.08112788971</v>
      </c>
    </row>
    <row r="72" ht="15.0" customHeight="1">
      <c r="A72" s="23" t="s">
        <v>96</v>
      </c>
      <c r="B72" s="35"/>
      <c r="C72" s="35">
        <v>256780.0</v>
      </c>
      <c r="D72" s="35">
        <v>156500.0</v>
      </c>
      <c r="E72" s="35">
        <v>1940635.0</v>
      </c>
      <c r="F72" s="35">
        <v>6100.0</v>
      </c>
      <c r="G72" s="36"/>
      <c r="H72" s="36">
        <v>367350.0</v>
      </c>
      <c r="I72" s="37">
        <v>695420.0</v>
      </c>
      <c r="J72" s="37">
        <v>1006385.0</v>
      </c>
      <c r="K72" s="37">
        <v>1250900.0</v>
      </c>
      <c r="L72" s="37"/>
      <c r="M72" s="37">
        <v>349290.0</v>
      </c>
      <c r="N72" s="37">
        <v>18660.0</v>
      </c>
      <c r="O72" s="37">
        <v>591685.0</v>
      </c>
      <c r="P72" s="37">
        <v>14160.0</v>
      </c>
      <c r="Q72" s="37"/>
      <c r="R72" s="37">
        <v>19500.0</v>
      </c>
      <c r="S72" s="37">
        <v>18200.0</v>
      </c>
      <c r="T72" s="37"/>
      <c r="U72" s="37">
        <v>126300.0</v>
      </c>
      <c r="V72" s="37"/>
      <c r="W72" s="38">
        <v>67710.0</v>
      </c>
      <c r="X72" s="37">
        <v>6885575.0</v>
      </c>
      <c r="Y72" s="39">
        <f t="shared" si="1"/>
        <v>2.928888028</v>
      </c>
    </row>
    <row r="73" ht="15.0" customHeight="1">
      <c r="A73" s="23" t="s">
        <v>73</v>
      </c>
      <c r="B73" s="35"/>
      <c r="C73" s="35">
        <v>2000.0</v>
      </c>
      <c r="D73" s="35">
        <v>232980.0</v>
      </c>
      <c r="E73" s="35">
        <v>138800.0</v>
      </c>
      <c r="F73" s="35">
        <v>4000.0</v>
      </c>
      <c r="G73" s="36"/>
      <c r="H73" s="36">
        <v>111960.0</v>
      </c>
      <c r="I73" s="37">
        <v>22680.0</v>
      </c>
      <c r="J73" s="37">
        <v>112900.0</v>
      </c>
      <c r="K73" s="37"/>
      <c r="L73" s="37"/>
      <c r="M73" s="37">
        <v>61900.0</v>
      </c>
      <c r="N73" s="37">
        <v>53640.0</v>
      </c>
      <c r="O73" s="37">
        <v>8000.0</v>
      </c>
      <c r="P73" s="37">
        <v>37000.0</v>
      </c>
      <c r="Q73" s="37">
        <v>4000.0</v>
      </c>
      <c r="R73" s="37">
        <v>26000.0</v>
      </c>
      <c r="S73" s="37">
        <v>27500.0</v>
      </c>
      <c r="T73" s="37"/>
      <c r="U73" s="37">
        <v>149910.0</v>
      </c>
      <c r="V73" s="37"/>
      <c r="W73" s="38">
        <v>52200.0</v>
      </c>
      <c r="X73" s="37">
        <v>1045470.0</v>
      </c>
      <c r="Y73" s="39">
        <f t="shared" si="1"/>
        <v>0.4447071693</v>
      </c>
    </row>
    <row r="74" ht="15.0" customHeight="1">
      <c r="A74" s="23" t="s">
        <v>23</v>
      </c>
      <c r="B74" s="35"/>
      <c r="C74" s="35"/>
      <c r="D74" s="35"/>
      <c r="E74" s="35">
        <v>1840.0</v>
      </c>
      <c r="F74" s="35"/>
      <c r="G74" s="36"/>
      <c r="H74" s="36"/>
      <c r="I74" s="37">
        <v>1250.0</v>
      </c>
      <c r="J74" s="37"/>
      <c r="K74" s="37"/>
      <c r="L74" s="37"/>
      <c r="M74" s="37"/>
      <c r="N74" s="37"/>
      <c r="O74" s="37">
        <v>5000.0</v>
      </c>
      <c r="P74" s="37"/>
      <c r="Q74" s="37"/>
      <c r="R74" s="37"/>
      <c r="S74" s="37"/>
      <c r="T74" s="37">
        <v>12000.0</v>
      </c>
      <c r="U74" s="37">
        <v>22000.0</v>
      </c>
      <c r="V74" s="37"/>
      <c r="W74" s="38">
        <v>0.0</v>
      </c>
      <c r="X74" s="37">
        <v>42090.0</v>
      </c>
      <c r="Y74" s="39">
        <f t="shared" si="1"/>
        <v>0.01790364597</v>
      </c>
    </row>
    <row r="75" ht="15.0" customHeight="1">
      <c r="A75" s="23" t="s">
        <v>58</v>
      </c>
      <c r="B75" s="35"/>
      <c r="C75" s="35"/>
      <c r="D75" s="35"/>
      <c r="E75" s="35">
        <v>15000.0</v>
      </c>
      <c r="F75" s="35"/>
      <c r="G75" s="36"/>
      <c r="H75" s="36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8">
        <v>0.0</v>
      </c>
      <c r="X75" s="37">
        <v>15000.0</v>
      </c>
      <c r="Y75" s="39">
        <f t="shared" si="1"/>
        <v>0.006380486804</v>
      </c>
    </row>
    <row r="76" ht="15.0" customHeight="1">
      <c r="A76" s="23" t="s">
        <v>97</v>
      </c>
      <c r="B76" s="35"/>
      <c r="C76" s="35">
        <v>200.0</v>
      </c>
      <c r="D76" s="35">
        <v>500.0</v>
      </c>
      <c r="E76" s="35">
        <v>25400.0</v>
      </c>
      <c r="F76" s="35"/>
      <c r="G76" s="36"/>
      <c r="H76" s="36"/>
      <c r="I76" s="37">
        <v>26260.0</v>
      </c>
      <c r="J76" s="37">
        <v>2500.0</v>
      </c>
      <c r="K76" s="37">
        <v>500.0</v>
      </c>
      <c r="L76" s="37"/>
      <c r="M76" s="37">
        <v>3500.0</v>
      </c>
      <c r="N76" s="37"/>
      <c r="O76" s="37"/>
      <c r="P76" s="37"/>
      <c r="Q76" s="37"/>
      <c r="R76" s="37"/>
      <c r="S76" s="37"/>
      <c r="T76" s="37"/>
      <c r="U76" s="37">
        <v>6160.0</v>
      </c>
      <c r="V76" s="37">
        <v>98110.0</v>
      </c>
      <c r="W76" s="38">
        <v>1050.0</v>
      </c>
      <c r="X76" s="37">
        <v>164180.0</v>
      </c>
      <c r="Y76" s="39">
        <f t="shared" si="1"/>
        <v>0.0698365549</v>
      </c>
    </row>
    <row r="77" ht="15.0" customHeight="1">
      <c r="A77" s="23" t="s">
        <v>98</v>
      </c>
      <c r="B77" s="35"/>
      <c r="C77" s="35"/>
      <c r="D77" s="35">
        <v>11220.0</v>
      </c>
      <c r="E77" s="35"/>
      <c r="F77" s="35">
        <v>18100.0</v>
      </c>
      <c r="G77" s="36"/>
      <c r="H77" s="36"/>
      <c r="I77" s="37"/>
      <c r="J77" s="37"/>
      <c r="K77" s="37"/>
      <c r="L77" s="37"/>
      <c r="M77" s="37"/>
      <c r="N77" s="37">
        <v>1000.0</v>
      </c>
      <c r="O77" s="37"/>
      <c r="P77" s="37"/>
      <c r="Q77" s="37"/>
      <c r="R77" s="37"/>
      <c r="S77" s="37"/>
      <c r="T77" s="37"/>
      <c r="U77" s="37">
        <v>721364.0</v>
      </c>
      <c r="V77" s="37">
        <v>3430.0</v>
      </c>
      <c r="W77" s="38">
        <v>540.0</v>
      </c>
      <c r="X77" s="37">
        <v>755654.0</v>
      </c>
      <c r="Y77" s="39">
        <f t="shared" si="1"/>
        <v>0.3214293584</v>
      </c>
    </row>
    <row r="78" ht="15.0" customHeight="1">
      <c r="A78" s="23" t="s">
        <v>99</v>
      </c>
      <c r="B78" s="35"/>
      <c r="C78" s="35"/>
      <c r="D78" s="35">
        <v>40750.0</v>
      </c>
      <c r="E78" s="35">
        <v>118800.0</v>
      </c>
      <c r="F78" s="35"/>
      <c r="G78" s="36"/>
      <c r="H78" s="36"/>
      <c r="I78" s="37"/>
      <c r="J78" s="37">
        <v>17200.0</v>
      </c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>
        <v>151940.0</v>
      </c>
      <c r="V78" s="37"/>
      <c r="W78" s="38">
        <v>460.0</v>
      </c>
      <c r="X78" s="37">
        <v>329150.0</v>
      </c>
      <c r="Y78" s="39">
        <f t="shared" si="1"/>
        <v>0.1400091488</v>
      </c>
    </row>
    <row r="79" ht="15.0" customHeight="1">
      <c r="A79" s="23" t="s">
        <v>100</v>
      </c>
      <c r="B79" s="35"/>
      <c r="C79" s="35"/>
      <c r="D79" s="35"/>
      <c r="E79" s="35">
        <v>7070.0</v>
      </c>
      <c r="F79" s="35"/>
      <c r="G79" s="36"/>
      <c r="H79" s="36"/>
      <c r="I79" s="37">
        <v>32840.0</v>
      </c>
      <c r="J79" s="37">
        <v>16800.0</v>
      </c>
      <c r="K79" s="37">
        <v>5750.0</v>
      </c>
      <c r="L79" s="37"/>
      <c r="M79" s="37">
        <v>13900.0</v>
      </c>
      <c r="N79" s="37"/>
      <c r="O79" s="37">
        <v>1400.0</v>
      </c>
      <c r="P79" s="37"/>
      <c r="Q79" s="37"/>
      <c r="R79" s="37"/>
      <c r="S79" s="37"/>
      <c r="T79" s="37"/>
      <c r="U79" s="37"/>
      <c r="V79" s="37"/>
      <c r="W79" s="38">
        <v>2000.0</v>
      </c>
      <c r="X79" s="37">
        <v>79760.0</v>
      </c>
      <c r="Y79" s="39">
        <f t="shared" si="1"/>
        <v>0.03392717517</v>
      </c>
    </row>
    <row r="80" ht="15.0" customHeight="1">
      <c r="A80" s="23" t="s">
        <v>101</v>
      </c>
      <c r="B80" s="35"/>
      <c r="C80" s="35"/>
      <c r="D80" s="35">
        <v>4780.0</v>
      </c>
      <c r="E80" s="35">
        <v>25175.0</v>
      </c>
      <c r="F80" s="35"/>
      <c r="G80" s="36">
        <v>15800.0</v>
      </c>
      <c r="H80" s="36">
        <v>40.0</v>
      </c>
      <c r="I80" s="37"/>
      <c r="J80" s="37"/>
      <c r="K80" s="37"/>
      <c r="L80" s="37"/>
      <c r="M80" s="37"/>
      <c r="N80" s="37"/>
      <c r="O80" s="37">
        <v>7500.0</v>
      </c>
      <c r="P80" s="37">
        <v>2000.0</v>
      </c>
      <c r="Q80" s="37"/>
      <c r="R80" s="37">
        <v>790.0</v>
      </c>
      <c r="S80" s="37">
        <v>150.0</v>
      </c>
      <c r="T80" s="37">
        <v>200.0</v>
      </c>
      <c r="U80" s="37">
        <v>20620.0</v>
      </c>
      <c r="V80" s="37">
        <v>700.0</v>
      </c>
      <c r="W80" s="38">
        <v>0.0</v>
      </c>
      <c r="X80" s="37">
        <v>77755.0</v>
      </c>
      <c r="Y80" s="39">
        <f t="shared" si="1"/>
        <v>0.03307431676</v>
      </c>
    </row>
    <row r="81" ht="15.0" customHeight="1">
      <c r="A81" s="23" t="s">
        <v>102</v>
      </c>
      <c r="B81" s="35"/>
      <c r="C81" s="35"/>
      <c r="D81" s="35"/>
      <c r="E81" s="35"/>
      <c r="F81" s="35"/>
      <c r="G81" s="36"/>
      <c r="H81" s="36"/>
      <c r="I81" s="37"/>
      <c r="J81" s="37">
        <v>6000.0</v>
      </c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>
        <v>228086.0</v>
      </c>
      <c r="V81" s="37">
        <v>3100.0</v>
      </c>
      <c r="W81" s="38">
        <v>0.0</v>
      </c>
      <c r="X81" s="37">
        <v>237186.0</v>
      </c>
      <c r="Y81" s="39">
        <f t="shared" si="1"/>
        <v>0.1008908095</v>
      </c>
    </row>
    <row r="82" ht="15.0" customHeight="1">
      <c r="A82" s="23" t="s">
        <v>103</v>
      </c>
      <c r="B82" s="35"/>
      <c r="C82" s="35"/>
      <c r="D82" s="35"/>
      <c r="E82" s="35">
        <v>5320.0</v>
      </c>
      <c r="F82" s="35"/>
      <c r="G82" s="36"/>
      <c r="H82" s="36">
        <v>600.0</v>
      </c>
      <c r="I82" s="37"/>
      <c r="J82" s="37">
        <v>100.0</v>
      </c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>
        <v>7520.0</v>
      </c>
      <c r="V82" s="37">
        <v>200.0</v>
      </c>
      <c r="W82" s="38">
        <v>0.0</v>
      </c>
      <c r="X82" s="37">
        <v>13740.0</v>
      </c>
      <c r="Y82" s="39">
        <f t="shared" si="1"/>
        <v>0.005844525912</v>
      </c>
    </row>
    <row r="83" ht="15.0" customHeight="1">
      <c r="A83" s="23" t="s">
        <v>104</v>
      </c>
      <c r="B83" s="35"/>
      <c r="C83" s="35"/>
      <c r="D83" s="35"/>
      <c r="E83" s="35"/>
      <c r="F83" s="35"/>
      <c r="G83" s="36"/>
      <c r="H83" s="36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>
        <v>22890.0</v>
      </c>
      <c r="V83" s="37"/>
      <c r="W83" s="38">
        <v>0.0</v>
      </c>
      <c r="X83" s="37">
        <v>22890.0</v>
      </c>
      <c r="Y83" s="39">
        <f t="shared" si="1"/>
        <v>0.009736622863</v>
      </c>
    </row>
    <row r="84" ht="15.0" customHeight="1">
      <c r="A84" s="23" t="s">
        <v>105</v>
      </c>
      <c r="B84" s="35"/>
      <c r="C84" s="35"/>
      <c r="D84" s="35"/>
      <c r="E84" s="35"/>
      <c r="F84" s="35"/>
      <c r="G84" s="36"/>
      <c r="H84" s="36"/>
      <c r="I84" s="37"/>
      <c r="J84" s="37"/>
      <c r="K84" s="37"/>
      <c r="L84" s="37"/>
      <c r="M84" s="37"/>
      <c r="N84" s="37"/>
      <c r="O84" s="37">
        <v>60.0</v>
      </c>
      <c r="P84" s="37"/>
      <c r="Q84" s="37"/>
      <c r="R84" s="37"/>
      <c r="S84" s="37"/>
      <c r="T84" s="37"/>
      <c r="U84" s="37">
        <v>20.0</v>
      </c>
      <c r="V84" s="37"/>
      <c r="W84" s="38">
        <v>0.0</v>
      </c>
      <c r="X84" s="37">
        <v>80.0</v>
      </c>
      <c r="Y84" s="39">
        <f t="shared" si="1"/>
        <v>0.00003402926295</v>
      </c>
    </row>
    <row r="85" ht="15.0" customHeight="1">
      <c r="A85" s="23" t="s">
        <v>106</v>
      </c>
      <c r="B85" s="35"/>
      <c r="C85" s="35">
        <v>6610.0</v>
      </c>
      <c r="D85" s="35">
        <v>17290.0</v>
      </c>
      <c r="E85" s="35">
        <v>716840.0</v>
      </c>
      <c r="F85" s="35">
        <v>21200.0</v>
      </c>
      <c r="G85" s="36"/>
      <c r="H85" s="36">
        <v>3500.0</v>
      </c>
      <c r="I85" s="37">
        <v>116980.0</v>
      </c>
      <c r="J85" s="37">
        <v>100800.0</v>
      </c>
      <c r="K85" s="37">
        <v>344780.0</v>
      </c>
      <c r="L85" s="37">
        <v>2000.0</v>
      </c>
      <c r="M85" s="37">
        <v>543640.0</v>
      </c>
      <c r="N85" s="37">
        <v>20000.0</v>
      </c>
      <c r="O85" s="37">
        <v>724170.0</v>
      </c>
      <c r="P85" s="37">
        <v>21000.0</v>
      </c>
      <c r="Q85" s="37">
        <v>210.0</v>
      </c>
      <c r="R85" s="37"/>
      <c r="S85" s="37"/>
      <c r="T85" s="37">
        <v>5000.0</v>
      </c>
      <c r="U85" s="37">
        <v>19000.0</v>
      </c>
      <c r="V85" s="37">
        <v>147000.0</v>
      </c>
      <c r="W85" s="38">
        <v>112760.0</v>
      </c>
      <c r="X85" s="37">
        <v>2922780.0</v>
      </c>
      <c r="Y85" s="39">
        <f t="shared" si="1"/>
        <v>1.243250615</v>
      </c>
    </row>
    <row r="86" ht="15.0" customHeight="1">
      <c r="A86" s="23" t="s">
        <v>107</v>
      </c>
      <c r="B86" s="35"/>
      <c r="C86" s="35"/>
      <c r="D86" s="35">
        <v>240.0</v>
      </c>
      <c r="E86" s="35">
        <v>1000.0</v>
      </c>
      <c r="F86" s="35"/>
      <c r="G86" s="36"/>
      <c r="H86" s="36"/>
      <c r="I86" s="37">
        <v>25530.0</v>
      </c>
      <c r="J86" s="37">
        <v>6480.0</v>
      </c>
      <c r="K86" s="37"/>
      <c r="L86" s="37"/>
      <c r="M86" s="37"/>
      <c r="N86" s="37"/>
      <c r="O86" s="37">
        <v>3200.0</v>
      </c>
      <c r="P86" s="37">
        <v>1000.0</v>
      </c>
      <c r="Q86" s="37"/>
      <c r="R86" s="37">
        <v>560.0</v>
      </c>
      <c r="S86" s="37"/>
      <c r="T86" s="37"/>
      <c r="U86" s="37">
        <v>17180.0</v>
      </c>
      <c r="V86" s="37"/>
      <c r="W86" s="38">
        <v>1600.0</v>
      </c>
      <c r="X86" s="37">
        <v>56790.0</v>
      </c>
      <c r="Y86" s="39">
        <f t="shared" si="1"/>
        <v>0.02415652304</v>
      </c>
    </row>
    <row r="87" ht="15.0" customHeight="1">
      <c r="A87" s="23" t="s">
        <v>108</v>
      </c>
      <c r="B87" s="35">
        <v>2000.0</v>
      </c>
      <c r="C87" s="35">
        <v>149710.0</v>
      </c>
      <c r="D87" s="35">
        <v>102120.0</v>
      </c>
      <c r="E87" s="35">
        <v>323180.0</v>
      </c>
      <c r="F87" s="35">
        <v>1000.0</v>
      </c>
      <c r="G87" s="36"/>
      <c r="H87" s="36">
        <v>426900.0</v>
      </c>
      <c r="I87" s="37">
        <v>93280.0</v>
      </c>
      <c r="J87" s="37">
        <v>131070.0</v>
      </c>
      <c r="K87" s="37">
        <v>9325.0</v>
      </c>
      <c r="L87" s="37"/>
      <c r="M87" s="37">
        <v>82870.0</v>
      </c>
      <c r="N87" s="37">
        <v>136880.0</v>
      </c>
      <c r="O87" s="37">
        <v>243180.0</v>
      </c>
      <c r="P87" s="37">
        <v>489880.0</v>
      </c>
      <c r="Q87" s="37">
        <v>11280.0</v>
      </c>
      <c r="R87" s="37">
        <v>91220.0</v>
      </c>
      <c r="S87" s="37">
        <v>37240.0</v>
      </c>
      <c r="T87" s="37"/>
      <c r="U87" s="37">
        <v>968740.0</v>
      </c>
      <c r="V87" s="37"/>
      <c r="W87" s="38">
        <v>10210.0</v>
      </c>
      <c r="X87" s="37">
        <v>3310085.0</v>
      </c>
      <c r="Y87" s="39">
        <f t="shared" si="1"/>
        <v>1.407996911</v>
      </c>
    </row>
    <row r="88" ht="15.0" customHeight="1">
      <c r="A88" s="23" t="s">
        <v>109</v>
      </c>
      <c r="B88" s="35">
        <v>2000.0</v>
      </c>
      <c r="C88" s="35"/>
      <c r="D88" s="35">
        <v>148895.0</v>
      </c>
      <c r="E88" s="35">
        <v>227250.0</v>
      </c>
      <c r="F88" s="35"/>
      <c r="G88" s="36"/>
      <c r="H88" s="36">
        <v>56360.0</v>
      </c>
      <c r="I88" s="37">
        <v>4000.0</v>
      </c>
      <c r="J88" s="37">
        <v>182575.0</v>
      </c>
      <c r="K88" s="37">
        <v>5500.0</v>
      </c>
      <c r="L88" s="37"/>
      <c r="M88" s="37">
        <v>41500.0</v>
      </c>
      <c r="N88" s="37">
        <v>12000.0</v>
      </c>
      <c r="O88" s="37">
        <v>25500.0</v>
      </c>
      <c r="P88" s="37">
        <v>65900.0</v>
      </c>
      <c r="Q88" s="37"/>
      <c r="R88" s="37">
        <v>23650.0</v>
      </c>
      <c r="S88" s="37">
        <v>2000.0</v>
      </c>
      <c r="T88" s="37"/>
      <c r="U88" s="37">
        <v>524950.0</v>
      </c>
      <c r="V88" s="37"/>
      <c r="W88" s="38">
        <v>8000.0</v>
      </c>
      <c r="X88" s="37">
        <v>1330080.0</v>
      </c>
      <c r="Y88" s="39">
        <f t="shared" si="1"/>
        <v>0.5657705259</v>
      </c>
    </row>
    <row r="89" ht="15.0" customHeight="1">
      <c r="A89" s="23" t="s">
        <v>110</v>
      </c>
      <c r="B89" s="35"/>
      <c r="C89" s="35">
        <v>155510.0</v>
      </c>
      <c r="D89" s="35">
        <v>1300.0</v>
      </c>
      <c r="E89" s="35">
        <v>11015.0</v>
      </c>
      <c r="F89" s="35"/>
      <c r="G89" s="36"/>
      <c r="H89" s="36"/>
      <c r="I89" s="37">
        <v>1800.0</v>
      </c>
      <c r="J89" s="37">
        <v>2900.0</v>
      </c>
      <c r="K89" s="37">
        <v>10300.0</v>
      </c>
      <c r="L89" s="37"/>
      <c r="M89" s="37">
        <v>5200.0</v>
      </c>
      <c r="N89" s="37"/>
      <c r="O89" s="37">
        <v>1000.0</v>
      </c>
      <c r="P89" s="37"/>
      <c r="Q89" s="37"/>
      <c r="R89" s="37"/>
      <c r="S89" s="37"/>
      <c r="T89" s="37"/>
      <c r="U89" s="37">
        <v>500.0</v>
      </c>
      <c r="V89" s="37"/>
      <c r="W89" s="38">
        <v>900.0</v>
      </c>
      <c r="X89" s="37">
        <v>190425.0</v>
      </c>
      <c r="Y89" s="39">
        <f t="shared" si="1"/>
        <v>0.08100027998</v>
      </c>
    </row>
    <row r="90" ht="15.0" customHeight="1">
      <c r="A90" s="42" t="s">
        <v>111</v>
      </c>
      <c r="B90" s="36"/>
      <c r="C90" s="36">
        <v>210175.0</v>
      </c>
      <c r="D90" s="36">
        <v>7850.0</v>
      </c>
      <c r="E90" s="36">
        <v>10960.0</v>
      </c>
      <c r="F90" s="36"/>
      <c r="G90" s="36"/>
      <c r="H90" s="36"/>
      <c r="I90" s="38">
        <v>10907.0</v>
      </c>
      <c r="J90" s="38">
        <v>5600.0</v>
      </c>
      <c r="K90" s="38">
        <v>23200.0</v>
      </c>
      <c r="L90" s="38"/>
      <c r="M90" s="38">
        <v>41490.0</v>
      </c>
      <c r="N90" s="38"/>
      <c r="O90" s="38">
        <v>1000.0</v>
      </c>
      <c r="P90" s="38">
        <v>11400.0</v>
      </c>
      <c r="Q90" s="38"/>
      <c r="R90" s="38">
        <v>200.0</v>
      </c>
      <c r="S90" s="38"/>
      <c r="T90" s="38"/>
      <c r="U90" s="38">
        <v>1000.0</v>
      </c>
      <c r="V90" s="38"/>
      <c r="W90" s="38">
        <v>2300.0</v>
      </c>
      <c r="X90" s="38">
        <v>326082.0</v>
      </c>
      <c r="Y90" s="39">
        <f t="shared" si="1"/>
        <v>0.1387041265</v>
      </c>
    </row>
    <row r="91" ht="15.0" customHeight="1">
      <c r="A91" s="42" t="s">
        <v>112</v>
      </c>
      <c r="B91" s="36"/>
      <c r="C91" s="36">
        <v>200.0</v>
      </c>
      <c r="D91" s="36"/>
      <c r="E91" s="36"/>
      <c r="F91" s="36"/>
      <c r="G91" s="36"/>
      <c r="H91" s="36"/>
      <c r="I91" s="38">
        <v>3000.0</v>
      </c>
      <c r="J91" s="38">
        <v>2000.0</v>
      </c>
      <c r="K91" s="38">
        <v>500.0</v>
      </c>
      <c r="L91" s="38"/>
      <c r="M91" s="38"/>
      <c r="N91" s="38"/>
      <c r="O91" s="38"/>
      <c r="P91" s="38"/>
      <c r="Q91" s="38"/>
      <c r="R91" s="38"/>
      <c r="S91" s="38"/>
      <c r="T91" s="38"/>
      <c r="U91" s="38">
        <v>2515.0</v>
      </c>
      <c r="V91" s="38">
        <v>1371620.0</v>
      </c>
      <c r="W91" s="38">
        <v>40000.0</v>
      </c>
      <c r="X91" s="38">
        <v>1419835.0</v>
      </c>
      <c r="Y91" s="39">
        <f t="shared" si="1"/>
        <v>0.6039492321</v>
      </c>
    </row>
    <row r="92" ht="15.0" customHeight="1">
      <c r="A92" s="43" t="s">
        <v>113</v>
      </c>
      <c r="B92" s="35"/>
      <c r="C92" s="35"/>
      <c r="D92" s="35">
        <v>45700.0</v>
      </c>
      <c r="E92" s="35">
        <v>57650.0</v>
      </c>
      <c r="F92" s="35">
        <v>38700.0</v>
      </c>
      <c r="G92" s="36">
        <v>2000.0</v>
      </c>
      <c r="H92" s="36">
        <v>6950.0</v>
      </c>
      <c r="I92" s="37">
        <v>175500.0</v>
      </c>
      <c r="J92" s="37">
        <v>192400.0</v>
      </c>
      <c r="K92" s="37">
        <v>38850.0</v>
      </c>
      <c r="L92" s="37"/>
      <c r="M92" s="37">
        <v>57500.0</v>
      </c>
      <c r="N92" s="37">
        <v>4500.0</v>
      </c>
      <c r="O92" s="37">
        <v>7800.0</v>
      </c>
      <c r="P92" s="37">
        <v>13000.0</v>
      </c>
      <c r="Q92" s="37"/>
      <c r="R92" s="37">
        <v>11750.0</v>
      </c>
      <c r="S92" s="37">
        <v>1000.0</v>
      </c>
      <c r="T92" s="37"/>
      <c r="U92" s="37">
        <v>4500.0</v>
      </c>
      <c r="V92" s="37">
        <v>13000.0</v>
      </c>
      <c r="W92" s="38">
        <v>163150.0</v>
      </c>
      <c r="X92" s="37">
        <v>833950.0</v>
      </c>
      <c r="Y92" s="39">
        <f t="shared" si="1"/>
        <v>0.354733798</v>
      </c>
    </row>
    <row r="93" ht="15.0" customHeight="1">
      <c r="A93" s="43" t="s">
        <v>114</v>
      </c>
      <c r="B93" s="35"/>
      <c r="C93" s="35"/>
      <c r="D93" s="35"/>
      <c r="E93" s="35">
        <v>200.0</v>
      </c>
      <c r="F93" s="35"/>
      <c r="G93" s="36"/>
      <c r="H93" s="36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8">
        <v>0.0</v>
      </c>
      <c r="X93" s="37">
        <v>200.0</v>
      </c>
      <c r="Y93" s="39">
        <f t="shared" si="1"/>
        <v>0.00008507315739</v>
      </c>
    </row>
    <row r="94" ht="15.0" customHeight="1">
      <c r="A94" s="42" t="s">
        <v>115</v>
      </c>
      <c r="B94" s="36"/>
      <c r="C94" s="36">
        <v>5427.0</v>
      </c>
      <c r="D94" s="36">
        <v>150.0</v>
      </c>
      <c r="E94" s="36">
        <v>500.0</v>
      </c>
      <c r="F94" s="36"/>
      <c r="G94" s="36"/>
      <c r="H94" s="36"/>
      <c r="I94" s="38">
        <v>800.0</v>
      </c>
      <c r="J94" s="38">
        <v>500.0</v>
      </c>
      <c r="K94" s="38">
        <v>2020.0</v>
      </c>
      <c r="L94" s="38"/>
      <c r="M94" s="38"/>
      <c r="N94" s="38"/>
      <c r="O94" s="38">
        <v>500.0</v>
      </c>
      <c r="P94" s="38"/>
      <c r="Q94" s="38"/>
      <c r="R94" s="38"/>
      <c r="S94" s="38"/>
      <c r="T94" s="38"/>
      <c r="U94" s="38">
        <v>50.0</v>
      </c>
      <c r="V94" s="38"/>
      <c r="W94" s="38">
        <v>500.0</v>
      </c>
      <c r="X94" s="38">
        <v>10447.0</v>
      </c>
      <c r="Y94" s="39">
        <f t="shared" si="1"/>
        <v>0.004443796376</v>
      </c>
    </row>
    <row r="95" ht="15.0" customHeight="1">
      <c r="A95" s="43" t="s">
        <v>116</v>
      </c>
      <c r="B95" s="35"/>
      <c r="C95" s="35">
        <v>700.0</v>
      </c>
      <c r="D95" s="35">
        <v>3590.0</v>
      </c>
      <c r="E95" s="35"/>
      <c r="F95" s="35"/>
      <c r="G95" s="36"/>
      <c r="H95" s="36"/>
      <c r="I95" s="37">
        <v>6800.0</v>
      </c>
      <c r="J95" s="37"/>
      <c r="K95" s="37"/>
      <c r="L95" s="37"/>
      <c r="M95" s="37"/>
      <c r="N95" s="37">
        <v>400.0</v>
      </c>
      <c r="O95" s="37"/>
      <c r="P95" s="37">
        <v>341650.0</v>
      </c>
      <c r="Q95" s="37"/>
      <c r="R95" s="37"/>
      <c r="S95" s="37"/>
      <c r="T95" s="37"/>
      <c r="U95" s="37">
        <v>2303200.0</v>
      </c>
      <c r="V95" s="37"/>
      <c r="W95" s="38">
        <v>0.0</v>
      </c>
      <c r="X95" s="37">
        <v>2656340.0</v>
      </c>
      <c r="Y95" s="39">
        <f t="shared" si="1"/>
        <v>1.129916154</v>
      </c>
    </row>
    <row r="96" ht="15.0" customHeight="1">
      <c r="A96" s="43" t="s">
        <v>119</v>
      </c>
      <c r="B96" s="35">
        <v>2000.0</v>
      </c>
      <c r="C96" s="35">
        <v>200.0</v>
      </c>
      <c r="D96" s="35">
        <v>20000.0</v>
      </c>
      <c r="E96" s="35">
        <v>134250.0</v>
      </c>
      <c r="F96" s="35">
        <v>12200.0</v>
      </c>
      <c r="G96" s="36"/>
      <c r="H96" s="36">
        <v>25000.0</v>
      </c>
      <c r="I96" s="37">
        <v>46773.0</v>
      </c>
      <c r="J96" s="37">
        <v>146982.0</v>
      </c>
      <c r="K96" s="37">
        <v>17700.0</v>
      </c>
      <c r="L96" s="37"/>
      <c r="M96" s="37">
        <v>61450.0</v>
      </c>
      <c r="N96" s="37">
        <v>2000.0</v>
      </c>
      <c r="O96" s="37">
        <v>4900.0</v>
      </c>
      <c r="P96" s="37">
        <v>11000.0</v>
      </c>
      <c r="Q96" s="37">
        <v>12300.0</v>
      </c>
      <c r="R96" s="37">
        <v>58550.0</v>
      </c>
      <c r="S96" s="37">
        <v>200.0</v>
      </c>
      <c r="T96" s="37"/>
      <c r="U96" s="37">
        <v>98640.0</v>
      </c>
      <c r="V96" s="37">
        <v>40.0</v>
      </c>
      <c r="W96" s="38">
        <v>34560.0</v>
      </c>
      <c r="X96" s="37">
        <v>688745.0</v>
      </c>
      <c r="Y96" s="39">
        <f t="shared" si="1"/>
        <v>0.2929685589</v>
      </c>
    </row>
    <row r="97" ht="15.0" customHeight="1">
      <c r="A97" s="43" t="s">
        <v>143</v>
      </c>
      <c r="B97" s="35">
        <f t="shared" ref="B97:X97" si="2">SUM(B2:B96)</f>
        <v>746338</v>
      </c>
      <c r="C97" s="35">
        <f t="shared" si="2"/>
        <v>6379856</v>
      </c>
      <c r="D97" s="35">
        <f t="shared" si="2"/>
        <v>12193034</v>
      </c>
      <c r="E97" s="35">
        <f t="shared" si="2"/>
        <v>41555792</v>
      </c>
      <c r="F97" s="35">
        <f t="shared" si="2"/>
        <v>6973876</v>
      </c>
      <c r="G97" s="35">
        <f t="shared" si="2"/>
        <v>2086510</v>
      </c>
      <c r="H97" s="35">
        <f t="shared" si="2"/>
        <v>7620535</v>
      </c>
      <c r="I97" s="35">
        <f t="shared" si="2"/>
        <v>12600131</v>
      </c>
      <c r="J97" s="35">
        <f t="shared" si="2"/>
        <v>28367257</v>
      </c>
      <c r="K97" s="35">
        <f t="shared" si="2"/>
        <v>4542645</v>
      </c>
      <c r="L97" s="35">
        <f t="shared" si="2"/>
        <v>1181500</v>
      </c>
      <c r="M97" s="35">
        <f t="shared" si="2"/>
        <v>19618752</v>
      </c>
      <c r="N97" s="35">
        <f t="shared" si="2"/>
        <v>1184790</v>
      </c>
      <c r="O97" s="35">
        <f t="shared" si="2"/>
        <v>4680804</v>
      </c>
      <c r="P97" s="35">
        <f t="shared" si="2"/>
        <v>4817321</v>
      </c>
      <c r="Q97" s="35">
        <f t="shared" si="2"/>
        <v>717127</v>
      </c>
      <c r="R97" s="35">
        <f t="shared" si="2"/>
        <v>11244384</v>
      </c>
      <c r="S97" s="35">
        <f t="shared" si="2"/>
        <v>825086</v>
      </c>
      <c r="T97" s="35">
        <f t="shared" si="2"/>
        <v>1784605</v>
      </c>
      <c r="U97" s="35">
        <f t="shared" si="2"/>
        <v>58289519</v>
      </c>
      <c r="V97" s="35">
        <f t="shared" si="2"/>
        <v>3965309</v>
      </c>
      <c r="W97" s="36">
        <f t="shared" si="2"/>
        <v>3713609</v>
      </c>
      <c r="X97" s="35">
        <f t="shared" si="2"/>
        <v>235091780</v>
      </c>
      <c r="Y97" s="39"/>
    </row>
    <row r="98" ht="15.0" customHeight="1">
      <c r="A98" s="43" t="s">
        <v>142</v>
      </c>
      <c r="B98" s="39">
        <f t="shared" ref="B98:W98" si="3">(B97/$X$97)*100</f>
        <v>0.3174666507</v>
      </c>
      <c r="C98" s="39">
        <f t="shared" si="3"/>
        <v>2.713772468</v>
      </c>
      <c r="D98" s="39">
        <f t="shared" si="3"/>
        <v>5.186499502</v>
      </c>
      <c r="E98" s="39">
        <f t="shared" si="3"/>
        <v>17.67641217</v>
      </c>
      <c r="F98" s="39">
        <f t="shared" si="3"/>
        <v>2.966448253</v>
      </c>
      <c r="G98" s="39">
        <f t="shared" si="3"/>
        <v>0.8875299681</v>
      </c>
      <c r="H98" s="39">
        <f t="shared" si="3"/>
        <v>3.241514867</v>
      </c>
      <c r="I98" s="39">
        <f t="shared" si="3"/>
        <v>5.359664638</v>
      </c>
      <c r="J98" s="39">
        <f t="shared" si="3"/>
        <v>12.0664606</v>
      </c>
      <c r="K98" s="39">
        <f t="shared" si="3"/>
        <v>1.932285765</v>
      </c>
      <c r="L98" s="39">
        <f t="shared" si="3"/>
        <v>0.5025696773</v>
      </c>
      <c r="M98" s="39">
        <f t="shared" si="3"/>
        <v>8.345145883</v>
      </c>
      <c r="N98" s="39">
        <f t="shared" si="3"/>
        <v>0.5039691307</v>
      </c>
      <c r="O98" s="39">
        <f t="shared" si="3"/>
        <v>1.991053877</v>
      </c>
      <c r="P98" s="39">
        <f t="shared" si="3"/>
        <v>2.049123538</v>
      </c>
      <c r="Q98" s="39">
        <f t="shared" si="3"/>
        <v>0.3050412907</v>
      </c>
      <c r="R98" s="39">
        <f t="shared" si="3"/>
        <v>4.782976249</v>
      </c>
      <c r="S98" s="39">
        <f t="shared" si="3"/>
        <v>0.3509633557</v>
      </c>
      <c r="T98" s="39">
        <f t="shared" si="3"/>
        <v>0.7591099102</v>
      </c>
      <c r="U98" s="39">
        <f t="shared" si="3"/>
        <v>24.79436712</v>
      </c>
      <c r="V98" s="39">
        <f t="shared" si="3"/>
        <v>1.686706783</v>
      </c>
      <c r="W98" s="44">
        <f t="shared" si="3"/>
        <v>1.579642215</v>
      </c>
      <c r="X98" s="39"/>
    </row>
    <row r="99" ht="12.75" customHeight="1">
      <c r="G99" s="45"/>
      <c r="H99" s="45"/>
      <c r="W99" s="45"/>
    </row>
    <row r="100" ht="12.75" customHeight="1">
      <c r="G100" s="45"/>
      <c r="H100" s="45"/>
      <c r="W100" s="45"/>
    </row>
    <row r="101" ht="14.25" customHeight="1">
      <c r="A101" s="46"/>
      <c r="G101" s="45"/>
      <c r="H101" s="45"/>
      <c r="W101" s="45"/>
    </row>
    <row r="102" ht="12.75" customHeight="1">
      <c r="G102" s="45"/>
      <c r="H102" s="45"/>
      <c r="W102" s="45"/>
    </row>
    <row r="103" ht="12.75" customHeight="1">
      <c r="G103" s="45"/>
      <c r="H103" s="45"/>
      <c r="W103" s="45"/>
    </row>
    <row r="104" ht="12.75" customHeight="1">
      <c r="G104" s="45"/>
      <c r="H104" s="45"/>
      <c r="W104" s="45"/>
    </row>
    <row r="105" ht="12.75" customHeight="1">
      <c r="G105" s="45"/>
      <c r="H105" s="45"/>
      <c r="W105" s="45"/>
    </row>
    <row r="106" ht="12.75" customHeight="1">
      <c r="G106" s="45"/>
      <c r="H106" s="45"/>
      <c r="W106" s="45"/>
    </row>
    <row r="107" ht="12.75" customHeight="1">
      <c r="G107" s="45"/>
      <c r="H107" s="45"/>
      <c r="W107" s="45"/>
    </row>
    <row r="108" ht="12.75" customHeight="1">
      <c r="G108" s="45"/>
      <c r="H108" s="45"/>
      <c r="W108" s="45"/>
    </row>
    <row r="109" ht="12.75" customHeight="1">
      <c r="G109" s="45"/>
      <c r="H109" s="45"/>
      <c r="W109" s="45"/>
    </row>
    <row r="110" ht="12.75" customHeight="1">
      <c r="G110" s="45"/>
      <c r="H110" s="45"/>
      <c r="W110" s="45"/>
    </row>
    <row r="111" ht="12.75" customHeight="1">
      <c r="G111" s="45"/>
      <c r="H111" s="45"/>
      <c r="W111" s="45"/>
    </row>
    <row r="112" ht="12.75" customHeight="1">
      <c r="G112" s="45"/>
      <c r="H112" s="45"/>
      <c r="W112" s="45"/>
    </row>
    <row r="113" ht="12.75" customHeight="1">
      <c r="G113" s="45"/>
      <c r="H113" s="45"/>
      <c r="W113" s="45"/>
    </row>
    <row r="114" ht="12.75" customHeight="1">
      <c r="G114" s="45"/>
      <c r="H114" s="45"/>
      <c r="W114" s="45"/>
    </row>
    <row r="115" ht="12.75" customHeight="1">
      <c r="G115" s="45"/>
      <c r="H115" s="45"/>
      <c r="W115" s="45"/>
    </row>
    <row r="116" ht="12.75" customHeight="1">
      <c r="G116" s="45"/>
      <c r="H116" s="45"/>
      <c r="W116" s="45"/>
    </row>
    <row r="117" ht="12.75" customHeight="1">
      <c r="G117" s="45"/>
      <c r="H117" s="45"/>
      <c r="W117" s="45"/>
    </row>
    <row r="118" ht="12.75" customHeight="1">
      <c r="G118" s="45"/>
      <c r="H118" s="45"/>
      <c r="W118" s="45"/>
    </row>
    <row r="119" ht="12.75" customHeight="1">
      <c r="G119" s="45"/>
      <c r="H119" s="45"/>
      <c r="W119" s="45"/>
    </row>
    <row r="120" ht="12.75" customHeight="1">
      <c r="G120" s="45"/>
      <c r="H120" s="45"/>
      <c r="W120" s="45"/>
    </row>
    <row r="121" ht="12.75" customHeight="1">
      <c r="G121" s="45"/>
      <c r="H121" s="45"/>
      <c r="W121" s="45"/>
    </row>
    <row r="122" ht="12.75" customHeight="1">
      <c r="G122" s="45"/>
      <c r="H122" s="45"/>
      <c r="W122" s="45"/>
    </row>
    <row r="123" ht="12.75" customHeight="1">
      <c r="G123" s="45"/>
      <c r="H123" s="45"/>
      <c r="W123" s="45"/>
    </row>
    <row r="124" ht="12.75" customHeight="1">
      <c r="G124" s="45"/>
      <c r="H124" s="45"/>
      <c r="W124" s="45"/>
    </row>
    <row r="125" ht="12.75" customHeight="1">
      <c r="G125" s="45"/>
      <c r="H125" s="45"/>
      <c r="W125" s="45"/>
    </row>
    <row r="126" ht="12.75" customHeight="1">
      <c r="G126" s="45"/>
      <c r="H126" s="45"/>
      <c r="W126" s="45"/>
    </row>
    <row r="127" ht="12.75" customHeight="1">
      <c r="G127" s="45"/>
      <c r="H127" s="45"/>
      <c r="W127" s="45"/>
    </row>
    <row r="128" ht="12.75" customHeight="1">
      <c r="G128" s="45"/>
      <c r="H128" s="45"/>
      <c r="W128" s="45"/>
    </row>
    <row r="129" ht="12.75" customHeight="1">
      <c r="G129" s="45"/>
      <c r="H129" s="45"/>
      <c r="W129" s="45"/>
    </row>
    <row r="130" ht="12.75" customHeight="1">
      <c r="G130" s="45"/>
      <c r="H130" s="45"/>
      <c r="W130" s="45"/>
    </row>
    <row r="131" ht="12.75" customHeight="1">
      <c r="G131" s="45"/>
      <c r="H131" s="45"/>
      <c r="W131" s="45"/>
    </row>
    <row r="132" ht="12.75" customHeight="1">
      <c r="G132" s="45"/>
      <c r="H132" s="45"/>
      <c r="W132" s="45"/>
    </row>
    <row r="133" ht="12.75" customHeight="1">
      <c r="G133" s="45"/>
      <c r="H133" s="45"/>
      <c r="W133" s="45"/>
    </row>
    <row r="134" ht="12.75" customHeight="1">
      <c r="G134" s="45"/>
      <c r="H134" s="45"/>
      <c r="W134" s="45"/>
    </row>
    <row r="135" ht="12.75" customHeight="1">
      <c r="G135" s="45"/>
      <c r="H135" s="45"/>
      <c r="W135" s="45"/>
    </row>
    <row r="136" ht="12.75" customHeight="1">
      <c r="G136" s="45"/>
      <c r="H136" s="45"/>
      <c r="W136" s="45"/>
    </row>
    <row r="137" ht="12.75" customHeight="1">
      <c r="G137" s="45"/>
      <c r="H137" s="45"/>
      <c r="W137" s="45"/>
    </row>
    <row r="138" ht="12.75" customHeight="1">
      <c r="G138" s="45"/>
      <c r="H138" s="45"/>
      <c r="W138" s="45"/>
    </row>
    <row r="139" ht="12.75" customHeight="1">
      <c r="G139" s="45"/>
      <c r="H139" s="45"/>
      <c r="W139" s="45"/>
    </row>
    <row r="140" ht="12.75" customHeight="1">
      <c r="G140" s="45"/>
      <c r="H140" s="45"/>
      <c r="W140" s="45"/>
    </row>
    <row r="141" ht="12.75" customHeight="1">
      <c r="G141" s="45"/>
      <c r="H141" s="45"/>
      <c r="W141" s="45"/>
    </row>
    <row r="142" ht="12.75" customHeight="1">
      <c r="G142" s="45"/>
      <c r="H142" s="45"/>
      <c r="W142" s="45"/>
    </row>
    <row r="143" ht="12.75" customHeight="1">
      <c r="G143" s="45"/>
      <c r="H143" s="45"/>
      <c r="W143" s="45"/>
    </row>
    <row r="144" ht="12.75" customHeight="1">
      <c r="G144" s="45"/>
      <c r="H144" s="45"/>
      <c r="W144" s="45"/>
    </row>
    <row r="145" ht="12.75" customHeight="1">
      <c r="G145" s="45"/>
      <c r="H145" s="45"/>
      <c r="W145" s="45"/>
    </row>
    <row r="146" ht="12.75" customHeight="1">
      <c r="G146" s="45"/>
      <c r="H146" s="45"/>
      <c r="W146" s="45"/>
    </row>
    <row r="147" ht="12.75" customHeight="1">
      <c r="G147" s="45"/>
      <c r="H147" s="45"/>
      <c r="W147" s="45"/>
    </row>
    <row r="148" ht="12.75" customHeight="1">
      <c r="G148" s="45"/>
      <c r="H148" s="45"/>
      <c r="W148" s="45"/>
    </row>
    <row r="149" ht="12.75" customHeight="1">
      <c r="G149" s="45"/>
      <c r="H149" s="45"/>
      <c r="W149" s="45"/>
    </row>
    <row r="150" ht="12.75" customHeight="1">
      <c r="G150" s="45"/>
      <c r="H150" s="45"/>
      <c r="W150" s="45"/>
    </row>
    <row r="151" ht="12.75" customHeight="1">
      <c r="G151" s="45"/>
      <c r="H151" s="45"/>
      <c r="W151" s="45"/>
    </row>
    <row r="152" ht="12.75" customHeight="1">
      <c r="G152" s="45"/>
      <c r="H152" s="45"/>
      <c r="W152" s="45"/>
    </row>
    <row r="153" ht="12.75" customHeight="1">
      <c r="G153" s="45"/>
      <c r="H153" s="45"/>
      <c r="W153" s="45"/>
    </row>
    <row r="154" ht="12.75" customHeight="1">
      <c r="G154" s="45"/>
      <c r="H154" s="45"/>
      <c r="W154" s="45"/>
    </row>
    <row r="155" ht="12.75" customHeight="1">
      <c r="G155" s="45"/>
      <c r="H155" s="45"/>
      <c r="W155" s="45"/>
    </row>
    <row r="156" ht="12.75" customHeight="1">
      <c r="G156" s="45"/>
      <c r="H156" s="45"/>
      <c r="W156" s="45"/>
    </row>
    <row r="157" ht="12.75" customHeight="1">
      <c r="G157" s="45"/>
      <c r="H157" s="45"/>
      <c r="W157" s="45"/>
    </row>
    <row r="158" ht="12.75" customHeight="1">
      <c r="G158" s="45"/>
      <c r="H158" s="45"/>
      <c r="W158" s="45"/>
    </row>
    <row r="159" ht="12.75" customHeight="1">
      <c r="G159" s="45"/>
      <c r="H159" s="45"/>
      <c r="W159" s="45"/>
    </row>
    <row r="160" ht="12.75" customHeight="1">
      <c r="G160" s="45"/>
      <c r="H160" s="45"/>
      <c r="W160" s="45"/>
    </row>
    <row r="161" ht="12.75" customHeight="1">
      <c r="G161" s="45"/>
      <c r="H161" s="45"/>
      <c r="W161" s="45"/>
    </row>
    <row r="162" ht="12.75" customHeight="1">
      <c r="G162" s="45"/>
      <c r="H162" s="45"/>
      <c r="W162" s="45"/>
    </row>
    <row r="163" ht="12.75" customHeight="1">
      <c r="G163" s="45"/>
      <c r="H163" s="45"/>
      <c r="W163" s="45"/>
    </row>
    <row r="164" ht="12.75" customHeight="1">
      <c r="G164" s="45"/>
      <c r="H164" s="45"/>
      <c r="W164" s="45"/>
    </row>
    <row r="165" ht="12.75" customHeight="1">
      <c r="G165" s="45"/>
      <c r="H165" s="45"/>
      <c r="W165" s="45"/>
    </row>
    <row r="166" ht="12.75" customHeight="1">
      <c r="G166" s="45"/>
      <c r="H166" s="45"/>
      <c r="W166" s="45"/>
    </row>
    <row r="167" ht="12.75" customHeight="1">
      <c r="G167" s="45"/>
      <c r="H167" s="45"/>
      <c r="W167" s="45"/>
    </row>
    <row r="168" ht="12.75" customHeight="1">
      <c r="G168" s="45"/>
      <c r="H168" s="45"/>
      <c r="W168" s="45"/>
    </row>
    <row r="169" ht="12.75" customHeight="1">
      <c r="G169" s="45"/>
      <c r="H169" s="45"/>
      <c r="W169" s="45"/>
    </row>
    <row r="170" ht="12.75" customHeight="1">
      <c r="G170" s="45"/>
      <c r="H170" s="45"/>
      <c r="W170" s="45"/>
    </row>
    <row r="171" ht="12.75" customHeight="1">
      <c r="G171" s="45"/>
      <c r="H171" s="45"/>
      <c r="W171" s="45"/>
    </row>
    <row r="172" ht="12.75" customHeight="1">
      <c r="G172" s="45"/>
      <c r="H172" s="45"/>
      <c r="W172" s="45"/>
    </row>
    <row r="173" ht="12.75" customHeight="1">
      <c r="G173" s="45"/>
      <c r="H173" s="45"/>
      <c r="W173" s="45"/>
    </row>
    <row r="174" ht="12.75" customHeight="1">
      <c r="G174" s="45"/>
      <c r="H174" s="45"/>
      <c r="W174" s="45"/>
    </row>
    <row r="175" ht="12.75" customHeight="1">
      <c r="G175" s="45"/>
      <c r="H175" s="45"/>
      <c r="W175" s="45"/>
    </row>
    <row r="176" ht="12.75" customHeight="1">
      <c r="G176" s="45"/>
      <c r="H176" s="45"/>
      <c r="W176" s="45"/>
    </row>
    <row r="177" ht="12.75" customHeight="1">
      <c r="G177" s="45"/>
      <c r="H177" s="45"/>
      <c r="W177" s="45"/>
    </row>
    <row r="178" ht="12.75" customHeight="1">
      <c r="G178" s="45"/>
      <c r="H178" s="45"/>
      <c r="W178" s="45"/>
    </row>
    <row r="179" ht="12.75" customHeight="1">
      <c r="G179" s="45"/>
      <c r="H179" s="45"/>
      <c r="W179" s="45"/>
    </row>
    <row r="180" ht="12.75" customHeight="1">
      <c r="G180" s="45"/>
      <c r="H180" s="45"/>
      <c r="W180" s="45"/>
    </row>
    <row r="181" ht="12.75" customHeight="1">
      <c r="G181" s="45"/>
      <c r="H181" s="45"/>
      <c r="W181" s="45"/>
    </row>
    <row r="182" ht="12.75" customHeight="1">
      <c r="G182" s="45"/>
      <c r="H182" s="45"/>
      <c r="W182" s="45"/>
    </row>
    <row r="183" ht="12.75" customHeight="1">
      <c r="G183" s="45"/>
      <c r="H183" s="45"/>
      <c r="W183" s="45"/>
    </row>
    <row r="184" ht="12.75" customHeight="1">
      <c r="G184" s="45"/>
      <c r="H184" s="45"/>
      <c r="W184" s="45"/>
    </row>
    <row r="185" ht="12.75" customHeight="1">
      <c r="G185" s="45"/>
      <c r="H185" s="45"/>
      <c r="W185" s="45"/>
    </row>
    <row r="186" ht="12.75" customHeight="1">
      <c r="G186" s="45"/>
      <c r="H186" s="45"/>
      <c r="W186" s="45"/>
    </row>
    <row r="187" ht="12.75" customHeight="1">
      <c r="G187" s="45"/>
      <c r="H187" s="45"/>
      <c r="W187" s="45"/>
    </row>
    <row r="188" ht="12.75" customHeight="1">
      <c r="G188" s="45"/>
      <c r="H188" s="45"/>
      <c r="W188" s="45"/>
    </row>
    <row r="189" ht="12.75" customHeight="1">
      <c r="G189" s="45"/>
      <c r="H189" s="45"/>
      <c r="W189" s="45"/>
    </row>
    <row r="190" ht="12.75" customHeight="1">
      <c r="G190" s="45"/>
      <c r="H190" s="45"/>
      <c r="W190" s="45"/>
    </row>
    <row r="191" ht="12.75" customHeight="1">
      <c r="G191" s="45"/>
      <c r="H191" s="45"/>
      <c r="W191" s="45"/>
    </row>
    <row r="192" ht="12.75" customHeight="1">
      <c r="G192" s="45"/>
      <c r="H192" s="45"/>
      <c r="W192" s="45"/>
    </row>
    <row r="193" ht="12.75" customHeight="1">
      <c r="G193" s="45"/>
      <c r="H193" s="45"/>
      <c r="W193" s="45"/>
    </row>
    <row r="194" ht="12.75" customHeight="1">
      <c r="G194" s="45"/>
      <c r="H194" s="45"/>
      <c r="W194" s="45"/>
    </row>
    <row r="195" ht="12.75" customHeight="1">
      <c r="G195" s="45"/>
      <c r="H195" s="45"/>
      <c r="W195" s="45"/>
    </row>
    <row r="196" ht="12.75" customHeight="1">
      <c r="G196" s="45"/>
      <c r="H196" s="45"/>
      <c r="W196" s="45"/>
    </row>
    <row r="197" ht="12.75" customHeight="1">
      <c r="G197" s="45"/>
      <c r="H197" s="45"/>
      <c r="W197" s="45"/>
    </row>
    <row r="198" ht="12.75" customHeight="1">
      <c r="G198" s="45"/>
      <c r="H198" s="45"/>
      <c r="W198" s="45"/>
    </row>
    <row r="199" ht="12.75" customHeight="1">
      <c r="G199" s="45"/>
      <c r="H199" s="45"/>
      <c r="W199" s="45"/>
    </row>
    <row r="200" ht="12.75" customHeight="1">
      <c r="G200" s="45"/>
      <c r="H200" s="45"/>
      <c r="W200" s="45"/>
    </row>
    <row r="201" ht="12.75" customHeight="1">
      <c r="G201" s="45"/>
      <c r="H201" s="45"/>
      <c r="W201" s="45"/>
    </row>
    <row r="202" ht="12.75" customHeight="1">
      <c r="G202" s="45"/>
      <c r="H202" s="45"/>
      <c r="W202" s="45"/>
    </row>
    <row r="203" ht="12.75" customHeight="1">
      <c r="G203" s="45"/>
      <c r="H203" s="45"/>
      <c r="W203" s="45"/>
    </row>
    <row r="204" ht="12.75" customHeight="1">
      <c r="G204" s="45"/>
      <c r="H204" s="45"/>
      <c r="W204" s="45"/>
    </row>
    <row r="205" ht="12.75" customHeight="1">
      <c r="G205" s="45"/>
      <c r="H205" s="45"/>
      <c r="W205" s="45"/>
    </row>
    <row r="206" ht="12.75" customHeight="1">
      <c r="G206" s="45"/>
      <c r="H206" s="45"/>
      <c r="W206" s="45"/>
    </row>
    <row r="207" ht="12.75" customHeight="1">
      <c r="G207" s="45"/>
      <c r="H207" s="45"/>
      <c r="W207" s="45"/>
    </row>
    <row r="208" ht="12.75" customHeight="1">
      <c r="G208" s="45"/>
      <c r="H208" s="45"/>
      <c r="W208" s="45"/>
    </row>
    <row r="209" ht="12.75" customHeight="1">
      <c r="G209" s="45"/>
      <c r="H209" s="45"/>
      <c r="W209" s="45"/>
    </row>
    <row r="210" ht="12.75" customHeight="1">
      <c r="G210" s="45"/>
      <c r="H210" s="45"/>
      <c r="W210" s="45"/>
    </row>
    <row r="211" ht="12.75" customHeight="1">
      <c r="G211" s="45"/>
      <c r="H211" s="45"/>
      <c r="W211" s="45"/>
    </row>
    <row r="212" ht="12.75" customHeight="1">
      <c r="G212" s="45"/>
      <c r="H212" s="45"/>
      <c r="W212" s="45"/>
    </row>
    <row r="213" ht="12.75" customHeight="1">
      <c r="G213" s="45"/>
      <c r="H213" s="45"/>
      <c r="W213" s="45"/>
    </row>
    <row r="214" ht="12.75" customHeight="1">
      <c r="G214" s="45"/>
      <c r="H214" s="45"/>
      <c r="W214" s="45"/>
    </row>
    <row r="215" ht="12.75" customHeight="1">
      <c r="G215" s="45"/>
      <c r="H215" s="45"/>
      <c r="W215" s="45"/>
    </row>
    <row r="216" ht="12.75" customHeight="1">
      <c r="G216" s="45"/>
      <c r="H216" s="45"/>
      <c r="W216" s="45"/>
    </row>
    <row r="217" ht="12.75" customHeight="1">
      <c r="G217" s="45"/>
      <c r="H217" s="45"/>
      <c r="W217" s="45"/>
    </row>
    <row r="218" ht="12.75" customHeight="1">
      <c r="G218" s="45"/>
      <c r="H218" s="45"/>
      <c r="W218" s="45"/>
    </row>
    <row r="219" ht="12.75" customHeight="1">
      <c r="G219" s="45"/>
      <c r="H219" s="45"/>
      <c r="W219" s="45"/>
    </row>
    <row r="220" ht="12.75" customHeight="1">
      <c r="G220" s="45"/>
      <c r="H220" s="45"/>
      <c r="W220" s="45"/>
    </row>
    <row r="221" ht="12.75" customHeight="1">
      <c r="G221" s="45"/>
      <c r="H221" s="45"/>
      <c r="W221" s="45"/>
    </row>
    <row r="222" ht="12.75" customHeight="1">
      <c r="G222" s="45"/>
      <c r="H222" s="45"/>
      <c r="W222" s="45"/>
    </row>
    <row r="223" ht="12.75" customHeight="1">
      <c r="G223" s="45"/>
      <c r="H223" s="45"/>
      <c r="W223" s="45"/>
    </row>
    <row r="224" ht="12.75" customHeight="1">
      <c r="G224" s="45"/>
      <c r="H224" s="45"/>
      <c r="W224" s="45"/>
    </row>
    <row r="225" ht="12.75" customHeight="1">
      <c r="G225" s="45"/>
      <c r="H225" s="45"/>
      <c r="W225" s="45"/>
    </row>
    <row r="226" ht="12.75" customHeight="1">
      <c r="G226" s="45"/>
      <c r="H226" s="45"/>
      <c r="W226" s="45"/>
    </row>
    <row r="227" ht="12.75" customHeight="1">
      <c r="G227" s="45"/>
      <c r="H227" s="45"/>
      <c r="W227" s="45"/>
    </row>
    <row r="228" ht="12.75" customHeight="1">
      <c r="G228" s="45"/>
      <c r="H228" s="45"/>
      <c r="W228" s="45"/>
    </row>
    <row r="229" ht="12.75" customHeight="1">
      <c r="G229" s="45"/>
      <c r="H229" s="45"/>
      <c r="W229" s="45"/>
    </row>
    <row r="230" ht="12.75" customHeight="1">
      <c r="G230" s="45"/>
      <c r="H230" s="45"/>
      <c r="W230" s="45"/>
    </row>
    <row r="231" ht="12.75" customHeight="1">
      <c r="G231" s="45"/>
      <c r="H231" s="45"/>
      <c r="W231" s="45"/>
    </row>
    <row r="232" ht="12.75" customHeight="1">
      <c r="G232" s="45"/>
      <c r="H232" s="45"/>
      <c r="W232" s="45"/>
    </row>
    <row r="233" ht="12.75" customHeight="1">
      <c r="G233" s="45"/>
      <c r="H233" s="45"/>
      <c r="W233" s="45"/>
    </row>
    <row r="234" ht="12.75" customHeight="1">
      <c r="G234" s="45"/>
      <c r="H234" s="45"/>
      <c r="W234" s="45"/>
    </row>
    <row r="235" ht="12.75" customHeight="1">
      <c r="G235" s="45"/>
      <c r="H235" s="45"/>
      <c r="W235" s="45"/>
    </row>
    <row r="236" ht="12.75" customHeight="1">
      <c r="G236" s="45"/>
      <c r="H236" s="45"/>
      <c r="W236" s="45"/>
    </row>
    <row r="237" ht="12.75" customHeight="1">
      <c r="G237" s="45"/>
      <c r="H237" s="45"/>
      <c r="W237" s="45"/>
    </row>
    <row r="238" ht="12.75" customHeight="1">
      <c r="G238" s="45"/>
      <c r="H238" s="45"/>
      <c r="W238" s="45"/>
    </row>
    <row r="239" ht="12.75" customHeight="1">
      <c r="G239" s="45"/>
      <c r="H239" s="45"/>
      <c r="W239" s="45"/>
    </row>
    <row r="240" ht="12.75" customHeight="1">
      <c r="G240" s="45"/>
      <c r="H240" s="45"/>
      <c r="W240" s="45"/>
    </row>
    <row r="241" ht="12.75" customHeight="1">
      <c r="G241" s="45"/>
      <c r="H241" s="45"/>
      <c r="W241" s="45"/>
    </row>
    <row r="242" ht="12.75" customHeight="1">
      <c r="G242" s="45"/>
      <c r="H242" s="45"/>
      <c r="W242" s="45"/>
    </row>
    <row r="243" ht="12.75" customHeight="1">
      <c r="G243" s="45"/>
      <c r="H243" s="45"/>
      <c r="W243" s="45"/>
    </row>
    <row r="244" ht="12.75" customHeight="1">
      <c r="G244" s="45"/>
      <c r="H244" s="45"/>
      <c r="W244" s="45"/>
    </row>
    <row r="245" ht="12.75" customHeight="1">
      <c r="G245" s="45"/>
      <c r="H245" s="45"/>
      <c r="W245" s="45"/>
    </row>
    <row r="246" ht="12.75" customHeight="1">
      <c r="G246" s="45"/>
      <c r="H246" s="45"/>
      <c r="W246" s="45"/>
    </row>
    <row r="247" ht="12.75" customHeight="1">
      <c r="G247" s="45"/>
      <c r="H247" s="45"/>
      <c r="W247" s="45"/>
    </row>
    <row r="248" ht="12.75" customHeight="1">
      <c r="G248" s="45"/>
      <c r="H248" s="45"/>
      <c r="W248" s="45"/>
    </row>
    <row r="249" ht="12.75" customHeight="1">
      <c r="G249" s="45"/>
      <c r="H249" s="45"/>
      <c r="W249" s="45"/>
    </row>
    <row r="250" ht="12.75" customHeight="1">
      <c r="G250" s="45"/>
      <c r="H250" s="45"/>
      <c r="W250" s="45"/>
    </row>
    <row r="251" ht="12.75" customHeight="1">
      <c r="G251" s="45"/>
      <c r="H251" s="45"/>
      <c r="W251" s="45"/>
    </row>
    <row r="252" ht="12.75" customHeight="1">
      <c r="G252" s="45"/>
      <c r="H252" s="45"/>
      <c r="W252" s="45"/>
    </row>
    <row r="253" ht="12.75" customHeight="1">
      <c r="G253" s="45"/>
      <c r="H253" s="45"/>
      <c r="W253" s="45"/>
    </row>
    <row r="254" ht="12.75" customHeight="1">
      <c r="G254" s="45"/>
      <c r="H254" s="45"/>
      <c r="W254" s="45"/>
    </row>
    <row r="255" ht="12.75" customHeight="1">
      <c r="G255" s="45"/>
      <c r="H255" s="45"/>
      <c r="W255" s="45"/>
    </row>
    <row r="256" ht="12.75" customHeight="1">
      <c r="G256" s="45"/>
      <c r="H256" s="45"/>
      <c r="W256" s="45"/>
    </row>
    <row r="257" ht="12.75" customHeight="1">
      <c r="G257" s="45"/>
      <c r="H257" s="45"/>
      <c r="W257" s="45"/>
    </row>
    <row r="258" ht="12.75" customHeight="1">
      <c r="G258" s="45"/>
      <c r="H258" s="45"/>
      <c r="W258" s="45"/>
    </row>
    <row r="259" ht="12.75" customHeight="1">
      <c r="G259" s="45"/>
      <c r="H259" s="45"/>
      <c r="W259" s="45"/>
    </row>
    <row r="260" ht="12.75" customHeight="1">
      <c r="G260" s="45"/>
      <c r="H260" s="45"/>
      <c r="W260" s="45"/>
    </row>
    <row r="261" ht="12.75" customHeight="1">
      <c r="G261" s="45"/>
      <c r="H261" s="45"/>
      <c r="W261" s="45"/>
    </row>
    <row r="262" ht="12.75" customHeight="1">
      <c r="G262" s="45"/>
      <c r="H262" s="45"/>
      <c r="W262" s="45"/>
    </row>
    <row r="263" ht="12.75" customHeight="1">
      <c r="G263" s="45"/>
      <c r="H263" s="45"/>
      <c r="W263" s="45"/>
    </row>
    <row r="264" ht="12.75" customHeight="1">
      <c r="G264" s="45"/>
      <c r="H264" s="45"/>
      <c r="W264" s="45"/>
    </row>
    <row r="265" ht="12.75" customHeight="1">
      <c r="G265" s="45"/>
      <c r="H265" s="45"/>
      <c r="W265" s="45"/>
    </row>
    <row r="266" ht="12.75" customHeight="1">
      <c r="G266" s="45"/>
      <c r="H266" s="45"/>
      <c r="W266" s="45"/>
    </row>
    <row r="267" ht="12.75" customHeight="1">
      <c r="G267" s="45"/>
      <c r="H267" s="45"/>
      <c r="W267" s="45"/>
    </row>
    <row r="268" ht="12.75" customHeight="1">
      <c r="G268" s="45"/>
      <c r="H268" s="45"/>
      <c r="W268" s="45"/>
    </row>
    <row r="269" ht="12.75" customHeight="1">
      <c r="G269" s="45"/>
      <c r="H269" s="45"/>
      <c r="W269" s="45"/>
    </row>
    <row r="270" ht="12.75" customHeight="1">
      <c r="G270" s="45"/>
      <c r="H270" s="45"/>
      <c r="W270" s="45"/>
    </row>
    <row r="271" ht="12.75" customHeight="1">
      <c r="G271" s="45"/>
      <c r="H271" s="45"/>
      <c r="W271" s="45"/>
    </row>
    <row r="272" ht="12.75" customHeight="1">
      <c r="G272" s="45"/>
      <c r="H272" s="45"/>
      <c r="W272" s="45"/>
    </row>
    <row r="273" ht="12.75" customHeight="1">
      <c r="G273" s="45"/>
      <c r="H273" s="45"/>
      <c r="W273" s="45"/>
    </row>
    <row r="274" ht="12.75" customHeight="1">
      <c r="G274" s="45"/>
      <c r="H274" s="45"/>
      <c r="W274" s="45"/>
    </row>
    <row r="275" ht="12.75" customHeight="1">
      <c r="G275" s="45"/>
      <c r="H275" s="45"/>
      <c r="W275" s="45"/>
    </row>
    <row r="276" ht="12.75" customHeight="1">
      <c r="G276" s="45"/>
      <c r="H276" s="45"/>
      <c r="W276" s="45"/>
    </row>
    <row r="277" ht="12.75" customHeight="1">
      <c r="G277" s="45"/>
      <c r="H277" s="45"/>
      <c r="W277" s="45"/>
    </row>
    <row r="278" ht="12.75" customHeight="1">
      <c r="G278" s="45"/>
      <c r="H278" s="45"/>
      <c r="W278" s="45"/>
    </row>
    <row r="279" ht="12.75" customHeight="1">
      <c r="G279" s="45"/>
      <c r="H279" s="45"/>
      <c r="W279" s="45"/>
    </row>
    <row r="280" ht="12.75" customHeight="1">
      <c r="G280" s="45"/>
      <c r="H280" s="45"/>
      <c r="W280" s="45"/>
    </row>
    <row r="281" ht="12.75" customHeight="1">
      <c r="G281" s="45"/>
      <c r="H281" s="45"/>
      <c r="W281" s="45"/>
    </row>
    <row r="282" ht="12.75" customHeight="1">
      <c r="G282" s="45"/>
      <c r="H282" s="45"/>
      <c r="W282" s="45"/>
    </row>
    <row r="283" ht="12.75" customHeight="1">
      <c r="G283" s="45"/>
      <c r="H283" s="45"/>
      <c r="W283" s="45"/>
    </row>
    <row r="284" ht="12.75" customHeight="1">
      <c r="G284" s="45"/>
      <c r="H284" s="45"/>
      <c r="W284" s="45"/>
    </row>
    <row r="285" ht="12.75" customHeight="1">
      <c r="G285" s="45"/>
      <c r="H285" s="45"/>
      <c r="W285" s="45"/>
    </row>
    <row r="286" ht="12.75" customHeight="1">
      <c r="G286" s="45"/>
      <c r="H286" s="45"/>
      <c r="W286" s="45"/>
    </row>
    <row r="287" ht="12.75" customHeight="1">
      <c r="G287" s="45"/>
      <c r="H287" s="45"/>
      <c r="W287" s="45"/>
    </row>
    <row r="288" ht="12.75" customHeight="1">
      <c r="G288" s="45"/>
      <c r="H288" s="45"/>
      <c r="W288" s="45"/>
    </row>
    <row r="289" ht="12.75" customHeight="1">
      <c r="G289" s="45"/>
      <c r="H289" s="45"/>
      <c r="W289" s="45"/>
    </row>
    <row r="290" ht="12.75" customHeight="1">
      <c r="G290" s="45"/>
      <c r="H290" s="45"/>
      <c r="W290" s="45"/>
    </row>
    <row r="291" ht="12.75" customHeight="1">
      <c r="G291" s="45"/>
      <c r="H291" s="45"/>
      <c r="W291" s="45"/>
    </row>
    <row r="292" ht="12.75" customHeight="1">
      <c r="G292" s="45"/>
      <c r="H292" s="45"/>
      <c r="W292" s="45"/>
    </row>
    <row r="293" ht="12.75" customHeight="1">
      <c r="G293" s="45"/>
      <c r="H293" s="45"/>
      <c r="W293" s="45"/>
    </row>
    <row r="294" ht="12.75" customHeight="1">
      <c r="G294" s="45"/>
      <c r="H294" s="45"/>
      <c r="W294" s="45"/>
    </row>
    <row r="295" ht="12.75" customHeight="1">
      <c r="G295" s="45"/>
      <c r="H295" s="45"/>
      <c r="W295" s="45"/>
    </row>
    <row r="296" ht="12.75" customHeight="1">
      <c r="G296" s="45"/>
      <c r="H296" s="45"/>
      <c r="W296" s="45"/>
    </row>
    <row r="297" ht="12.75" customHeight="1">
      <c r="G297" s="45"/>
      <c r="H297" s="45"/>
      <c r="W297" s="45"/>
    </row>
    <row r="298" ht="12.75" customHeight="1">
      <c r="G298" s="45"/>
      <c r="H298" s="45"/>
      <c r="W298" s="45"/>
    </row>
    <row r="299" ht="12.75" customHeight="1">
      <c r="G299" s="45"/>
      <c r="H299" s="45"/>
      <c r="W299" s="45"/>
    </row>
    <row r="300" ht="12.75" customHeight="1">
      <c r="G300" s="45"/>
      <c r="H300" s="45"/>
      <c r="W300" s="45"/>
    </row>
    <row r="301" ht="12.75" customHeight="1">
      <c r="G301" s="45"/>
      <c r="H301" s="45"/>
      <c r="W301" s="45"/>
    </row>
    <row r="302" ht="12.75" customHeight="1">
      <c r="G302" s="45"/>
      <c r="H302" s="45"/>
      <c r="W302" s="45"/>
    </row>
    <row r="303" ht="12.75" customHeight="1">
      <c r="G303" s="45"/>
      <c r="H303" s="45"/>
      <c r="W303" s="45"/>
    </row>
    <row r="304" ht="12.75" customHeight="1">
      <c r="G304" s="45"/>
      <c r="H304" s="45"/>
      <c r="W304" s="45"/>
    </row>
    <row r="305" ht="12.75" customHeight="1">
      <c r="G305" s="45"/>
      <c r="H305" s="45"/>
      <c r="W305" s="45"/>
    </row>
    <row r="306" ht="12.75" customHeight="1">
      <c r="G306" s="45"/>
      <c r="H306" s="45"/>
      <c r="W306" s="45"/>
    </row>
    <row r="307" ht="12.75" customHeight="1">
      <c r="G307" s="45"/>
      <c r="H307" s="45"/>
      <c r="W307" s="45"/>
    </row>
    <row r="308" ht="12.75" customHeight="1">
      <c r="G308" s="45"/>
      <c r="H308" s="45"/>
      <c r="W308" s="45"/>
    </row>
    <row r="309" ht="12.75" customHeight="1">
      <c r="G309" s="45"/>
      <c r="H309" s="45"/>
      <c r="W309" s="45"/>
    </row>
    <row r="310" ht="12.75" customHeight="1">
      <c r="G310" s="45"/>
      <c r="H310" s="45"/>
      <c r="W310" s="45"/>
    </row>
    <row r="311" ht="12.75" customHeight="1">
      <c r="G311" s="45"/>
      <c r="H311" s="45"/>
      <c r="W311" s="45"/>
    </row>
    <row r="312" ht="12.75" customHeight="1">
      <c r="G312" s="45"/>
      <c r="H312" s="45"/>
      <c r="W312" s="45"/>
    </row>
    <row r="313" ht="12.75" customHeight="1">
      <c r="G313" s="45"/>
      <c r="H313" s="45"/>
      <c r="W313" s="45"/>
    </row>
    <row r="314" ht="12.75" customHeight="1">
      <c r="G314" s="45"/>
      <c r="H314" s="45"/>
      <c r="W314" s="45"/>
    </row>
    <row r="315" ht="12.75" customHeight="1">
      <c r="G315" s="45"/>
      <c r="H315" s="45"/>
      <c r="W315" s="45"/>
    </row>
    <row r="316" ht="12.75" customHeight="1">
      <c r="G316" s="45"/>
      <c r="H316" s="45"/>
      <c r="W316" s="45"/>
    </row>
    <row r="317" ht="12.75" customHeight="1">
      <c r="G317" s="45"/>
      <c r="H317" s="45"/>
      <c r="W317" s="45"/>
    </row>
    <row r="318" ht="12.75" customHeight="1">
      <c r="G318" s="45"/>
      <c r="H318" s="45"/>
      <c r="W318" s="45"/>
    </row>
    <row r="319" ht="12.75" customHeight="1">
      <c r="G319" s="45"/>
      <c r="H319" s="45"/>
      <c r="W319" s="45"/>
    </row>
    <row r="320" ht="12.75" customHeight="1">
      <c r="G320" s="45"/>
      <c r="H320" s="45"/>
      <c r="W320" s="45"/>
    </row>
    <row r="321" ht="12.75" customHeight="1">
      <c r="G321" s="45"/>
      <c r="H321" s="45"/>
      <c r="W321" s="45"/>
    </row>
    <row r="322" ht="12.75" customHeight="1">
      <c r="G322" s="45"/>
      <c r="H322" s="45"/>
      <c r="W322" s="45"/>
    </row>
    <row r="323" ht="12.75" customHeight="1">
      <c r="G323" s="45"/>
      <c r="H323" s="45"/>
      <c r="W323" s="45"/>
    </row>
    <row r="324" ht="12.75" customHeight="1">
      <c r="G324" s="45"/>
      <c r="H324" s="45"/>
      <c r="W324" s="45"/>
    </row>
    <row r="325" ht="12.75" customHeight="1">
      <c r="G325" s="45"/>
      <c r="H325" s="45"/>
      <c r="W325" s="45"/>
    </row>
    <row r="326" ht="12.75" customHeight="1">
      <c r="G326" s="45"/>
      <c r="H326" s="45"/>
      <c r="W326" s="45"/>
    </row>
    <row r="327" ht="12.75" customHeight="1">
      <c r="G327" s="45"/>
      <c r="H327" s="45"/>
      <c r="W327" s="45"/>
    </row>
    <row r="328" ht="12.75" customHeight="1">
      <c r="G328" s="45"/>
      <c r="H328" s="45"/>
      <c r="W328" s="45"/>
    </row>
    <row r="329" ht="12.75" customHeight="1">
      <c r="G329" s="45"/>
      <c r="H329" s="45"/>
      <c r="W329" s="45"/>
    </row>
    <row r="330" ht="12.75" customHeight="1">
      <c r="G330" s="45"/>
      <c r="H330" s="45"/>
      <c r="W330" s="45"/>
    </row>
    <row r="331" ht="12.75" customHeight="1">
      <c r="G331" s="45"/>
      <c r="H331" s="45"/>
      <c r="W331" s="45"/>
    </row>
    <row r="332" ht="12.75" customHeight="1">
      <c r="G332" s="45"/>
      <c r="H332" s="45"/>
      <c r="W332" s="45"/>
    </row>
    <row r="333" ht="12.75" customHeight="1">
      <c r="G333" s="45"/>
      <c r="H333" s="45"/>
      <c r="W333" s="45"/>
    </row>
    <row r="334" ht="12.75" customHeight="1">
      <c r="G334" s="45"/>
      <c r="H334" s="45"/>
      <c r="W334" s="45"/>
    </row>
    <row r="335" ht="12.75" customHeight="1">
      <c r="G335" s="45"/>
      <c r="H335" s="45"/>
      <c r="W335" s="45"/>
    </row>
    <row r="336" ht="12.75" customHeight="1">
      <c r="G336" s="45"/>
      <c r="H336" s="45"/>
      <c r="W336" s="45"/>
    </row>
    <row r="337" ht="12.75" customHeight="1">
      <c r="G337" s="45"/>
      <c r="H337" s="45"/>
      <c r="W337" s="45"/>
    </row>
    <row r="338" ht="12.75" customHeight="1">
      <c r="G338" s="45"/>
      <c r="H338" s="45"/>
      <c r="W338" s="45"/>
    </row>
    <row r="339" ht="12.75" customHeight="1">
      <c r="G339" s="45"/>
      <c r="H339" s="45"/>
      <c r="W339" s="45"/>
    </row>
    <row r="340" ht="12.75" customHeight="1">
      <c r="G340" s="45"/>
      <c r="H340" s="45"/>
      <c r="W340" s="45"/>
    </row>
    <row r="341" ht="12.75" customHeight="1">
      <c r="G341" s="45"/>
      <c r="H341" s="45"/>
      <c r="W341" s="45"/>
    </row>
    <row r="342" ht="12.75" customHeight="1">
      <c r="G342" s="45"/>
      <c r="H342" s="45"/>
      <c r="W342" s="45"/>
    </row>
    <row r="343" ht="12.75" customHeight="1">
      <c r="G343" s="45"/>
      <c r="H343" s="45"/>
      <c r="W343" s="45"/>
    </row>
    <row r="344" ht="12.75" customHeight="1">
      <c r="G344" s="45"/>
      <c r="H344" s="45"/>
      <c r="W344" s="45"/>
    </row>
    <row r="345" ht="12.75" customHeight="1">
      <c r="G345" s="45"/>
      <c r="H345" s="45"/>
      <c r="W345" s="45"/>
    </row>
    <row r="346" ht="12.75" customHeight="1">
      <c r="G346" s="45"/>
      <c r="H346" s="45"/>
      <c r="W346" s="45"/>
    </row>
    <row r="347" ht="12.75" customHeight="1">
      <c r="G347" s="45"/>
      <c r="H347" s="45"/>
      <c r="W347" s="45"/>
    </row>
    <row r="348" ht="12.75" customHeight="1">
      <c r="G348" s="45"/>
      <c r="H348" s="45"/>
      <c r="W348" s="45"/>
    </row>
    <row r="349" ht="12.75" customHeight="1">
      <c r="G349" s="45"/>
      <c r="H349" s="45"/>
      <c r="W349" s="45"/>
    </row>
    <row r="350" ht="12.75" customHeight="1">
      <c r="G350" s="45"/>
      <c r="H350" s="45"/>
      <c r="W350" s="45"/>
    </row>
    <row r="351" ht="12.75" customHeight="1">
      <c r="G351" s="45"/>
      <c r="H351" s="45"/>
      <c r="W351" s="45"/>
    </row>
    <row r="352" ht="12.75" customHeight="1">
      <c r="G352" s="45"/>
      <c r="H352" s="45"/>
      <c r="W352" s="45"/>
    </row>
    <row r="353" ht="12.75" customHeight="1">
      <c r="G353" s="45"/>
      <c r="H353" s="45"/>
      <c r="W353" s="45"/>
    </row>
    <row r="354" ht="12.75" customHeight="1">
      <c r="G354" s="45"/>
      <c r="H354" s="45"/>
      <c r="W354" s="45"/>
    </row>
    <row r="355" ht="12.75" customHeight="1">
      <c r="G355" s="45"/>
      <c r="H355" s="45"/>
      <c r="W355" s="45"/>
    </row>
    <row r="356" ht="12.75" customHeight="1">
      <c r="G356" s="45"/>
      <c r="H356" s="45"/>
      <c r="W356" s="45"/>
    </row>
    <row r="357" ht="12.75" customHeight="1">
      <c r="G357" s="45"/>
      <c r="H357" s="45"/>
      <c r="W357" s="45"/>
    </row>
    <row r="358" ht="12.75" customHeight="1">
      <c r="G358" s="45"/>
      <c r="H358" s="45"/>
      <c r="W358" s="45"/>
    </row>
    <row r="359" ht="12.75" customHeight="1">
      <c r="G359" s="45"/>
      <c r="H359" s="45"/>
      <c r="W359" s="45"/>
    </row>
    <row r="360" ht="12.75" customHeight="1">
      <c r="G360" s="45"/>
      <c r="H360" s="45"/>
      <c r="W360" s="45"/>
    </row>
    <row r="361" ht="12.75" customHeight="1">
      <c r="G361" s="45"/>
      <c r="H361" s="45"/>
      <c r="W361" s="45"/>
    </row>
    <row r="362" ht="12.75" customHeight="1">
      <c r="G362" s="45"/>
      <c r="H362" s="45"/>
      <c r="W362" s="45"/>
    </row>
    <row r="363" ht="12.75" customHeight="1">
      <c r="G363" s="45"/>
      <c r="H363" s="45"/>
      <c r="W363" s="45"/>
    </row>
    <row r="364" ht="12.75" customHeight="1">
      <c r="G364" s="45"/>
      <c r="H364" s="45"/>
      <c r="W364" s="45"/>
    </row>
    <row r="365" ht="12.75" customHeight="1">
      <c r="G365" s="45"/>
      <c r="H365" s="45"/>
      <c r="W365" s="45"/>
    </row>
    <row r="366" ht="12.75" customHeight="1">
      <c r="G366" s="45"/>
      <c r="H366" s="45"/>
      <c r="W366" s="45"/>
    </row>
    <row r="367" ht="12.75" customHeight="1">
      <c r="G367" s="45"/>
      <c r="H367" s="45"/>
      <c r="W367" s="45"/>
    </row>
    <row r="368" ht="12.75" customHeight="1">
      <c r="G368" s="45"/>
      <c r="H368" s="45"/>
      <c r="W368" s="45"/>
    </row>
    <row r="369" ht="12.75" customHeight="1">
      <c r="G369" s="45"/>
      <c r="H369" s="45"/>
      <c r="W369" s="45"/>
    </row>
    <row r="370" ht="12.75" customHeight="1">
      <c r="G370" s="45"/>
      <c r="H370" s="45"/>
      <c r="W370" s="45"/>
    </row>
    <row r="371" ht="12.75" customHeight="1">
      <c r="G371" s="45"/>
      <c r="H371" s="45"/>
      <c r="W371" s="45"/>
    </row>
    <row r="372" ht="12.75" customHeight="1">
      <c r="G372" s="45"/>
      <c r="H372" s="45"/>
      <c r="W372" s="45"/>
    </row>
    <row r="373" ht="12.75" customHeight="1">
      <c r="G373" s="45"/>
      <c r="H373" s="45"/>
      <c r="W373" s="45"/>
    </row>
    <row r="374" ht="12.75" customHeight="1">
      <c r="G374" s="45"/>
      <c r="H374" s="45"/>
      <c r="W374" s="45"/>
    </row>
    <row r="375" ht="12.75" customHeight="1">
      <c r="G375" s="45"/>
      <c r="H375" s="45"/>
      <c r="W375" s="45"/>
    </row>
    <row r="376" ht="12.75" customHeight="1">
      <c r="G376" s="45"/>
      <c r="H376" s="45"/>
      <c r="W376" s="45"/>
    </row>
    <row r="377" ht="12.75" customHeight="1">
      <c r="G377" s="45"/>
      <c r="H377" s="45"/>
      <c r="W377" s="45"/>
    </row>
    <row r="378" ht="12.75" customHeight="1">
      <c r="G378" s="45"/>
      <c r="H378" s="45"/>
      <c r="W378" s="45"/>
    </row>
    <row r="379" ht="12.75" customHeight="1">
      <c r="G379" s="45"/>
      <c r="H379" s="45"/>
      <c r="W379" s="45"/>
    </row>
    <row r="380" ht="12.75" customHeight="1">
      <c r="G380" s="45"/>
      <c r="H380" s="45"/>
      <c r="W380" s="45"/>
    </row>
    <row r="381" ht="12.75" customHeight="1">
      <c r="G381" s="45"/>
      <c r="H381" s="45"/>
      <c r="W381" s="45"/>
    </row>
    <row r="382" ht="12.75" customHeight="1">
      <c r="G382" s="45"/>
      <c r="H382" s="45"/>
      <c r="W382" s="45"/>
    </row>
    <row r="383" ht="12.75" customHeight="1">
      <c r="G383" s="45"/>
      <c r="H383" s="45"/>
      <c r="W383" s="45"/>
    </row>
    <row r="384" ht="12.75" customHeight="1">
      <c r="G384" s="45"/>
      <c r="H384" s="45"/>
      <c r="W384" s="45"/>
    </row>
    <row r="385" ht="12.75" customHeight="1">
      <c r="G385" s="45"/>
      <c r="H385" s="45"/>
      <c r="W385" s="45"/>
    </row>
    <row r="386" ht="12.75" customHeight="1">
      <c r="G386" s="45"/>
      <c r="H386" s="45"/>
      <c r="W386" s="45"/>
    </row>
    <row r="387" ht="12.75" customHeight="1">
      <c r="G387" s="45"/>
      <c r="H387" s="45"/>
      <c r="W387" s="45"/>
    </row>
    <row r="388" ht="12.75" customHeight="1">
      <c r="G388" s="45"/>
      <c r="H388" s="45"/>
      <c r="W388" s="45"/>
    </row>
    <row r="389" ht="12.75" customHeight="1">
      <c r="G389" s="45"/>
      <c r="H389" s="45"/>
      <c r="W389" s="45"/>
    </row>
    <row r="390" ht="12.75" customHeight="1">
      <c r="G390" s="45"/>
      <c r="H390" s="45"/>
      <c r="W390" s="45"/>
    </row>
    <row r="391" ht="12.75" customHeight="1">
      <c r="G391" s="45"/>
      <c r="H391" s="45"/>
      <c r="W391" s="45"/>
    </row>
    <row r="392" ht="12.75" customHeight="1">
      <c r="G392" s="45"/>
      <c r="H392" s="45"/>
      <c r="W392" s="45"/>
    </row>
    <row r="393" ht="12.75" customHeight="1">
      <c r="G393" s="45"/>
      <c r="H393" s="45"/>
      <c r="W393" s="45"/>
    </row>
    <row r="394" ht="12.75" customHeight="1">
      <c r="G394" s="45"/>
      <c r="H394" s="45"/>
      <c r="W394" s="45"/>
    </row>
    <row r="395" ht="12.75" customHeight="1">
      <c r="G395" s="45"/>
      <c r="H395" s="45"/>
      <c r="W395" s="45"/>
    </row>
    <row r="396" ht="12.75" customHeight="1">
      <c r="G396" s="45"/>
      <c r="H396" s="45"/>
      <c r="W396" s="45"/>
    </row>
    <row r="397" ht="12.75" customHeight="1">
      <c r="G397" s="45"/>
      <c r="H397" s="45"/>
      <c r="W397" s="45"/>
    </row>
    <row r="398" ht="12.75" customHeight="1">
      <c r="G398" s="45"/>
      <c r="H398" s="45"/>
      <c r="W398" s="45"/>
    </row>
    <row r="399" ht="12.75" customHeight="1">
      <c r="G399" s="45"/>
      <c r="H399" s="45"/>
      <c r="W399" s="45"/>
    </row>
    <row r="400" ht="12.75" customHeight="1">
      <c r="G400" s="45"/>
      <c r="H400" s="45"/>
      <c r="W400" s="45"/>
    </row>
    <row r="401" ht="12.75" customHeight="1">
      <c r="G401" s="45"/>
      <c r="H401" s="45"/>
      <c r="W401" s="45"/>
    </row>
    <row r="402" ht="12.75" customHeight="1">
      <c r="G402" s="45"/>
      <c r="H402" s="45"/>
      <c r="W402" s="45"/>
    </row>
    <row r="403" ht="12.75" customHeight="1">
      <c r="G403" s="45"/>
      <c r="H403" s="45"/>
      <c r="W403" s="45"/>
    </row>
    <row r="404" ht="12.75" customHeight="1">
      <c r="G404" s="45"/>
      <c r="H404" s="45"/>
      <c r="W404" s="45"/>
    </row>
    <row r="405" ht="12.75" customHeight="1">
      <c r="G405" s="45"/>
      <c r="H405" s="45"/>
      <c r="W405" s="45"/>
    </row>
    <row r="406" ht="12.75" customHeight="1">
      <c r="G406" s="45"/>
      <c r="H406" s="45"/>
      <c r="W406" s="45"/>
    </row>
    <row r="407" ht="12.75" customHeight="1">
      <c r="G407" s="45"/>
      <c r="H407" s="45"/>
      <c r="W407" s="45"/>
    </row>
    <row r="408" ht="12.75" customHeight="1">
      <c r="G408" s="45"/>
      <c r="H408" s="45"/>
      <c r="W408" s="45"/>
    </row>
    <row r="409" ht="12.75" customHeight="1">
      <c r="G409" s="45"/>
      <c r="H409" s="45"/>
      <c r="W409" s="45"/>
    </row>
    <row r="410" ht="12.75" customHeight="1">
      <c r="G410" s="45"/>
      <c r="H410" s="45"/>
      <c r="W410" s="45"/>
    </row>
    <row r="411" ht="12.75" customHeight="1">
      <c r="G411" s="45"/>
      <c r="H411" s="45"/>
      <c r="W411" s="45"/>
    </row>
    <row r="412" ht="12.75" customHeight="1">
      <c r="G412" s="45"/>
      <c r="H412" s="45"/>
      <c r="W412" s="45"/>
    </row>
    <row r="413" ht="12.75" customHeight="1">
      <c r="G413" s="45"/>
      <c r="H413" s="45"/>
      <c r="W413" s="45"/>
    </row>
    <row r="414" ht="12.75" customHeight="1">
      <c r="G414" s="45"/>
      <c r="H414" s="45"/>
      <c r="W414" s="45"/>
    </row>
    <row r="415" ht="12.75" customHeight="1">
      <c r="G415" s="45"/>
      <c r="H415" s="45"/>
      <c r="W415" s="45"/>
    </row>
    <row r="416" ht="12.75" customHeight="1">
      <c r="G416" s="45"/>
      <c r="H416" s="45"/>
      <c r="W416" s="45"/>
    </row>
    <row r="417" ht="12.75" customHeight="1">
      <c r="G417" s="45"/>
      <c r="H417" s="45"/>
      <c r="W417" s="45"/>
    </row>
    <row r="418" ht="12.75" customHeight="1">
      <c r="G418" s="45"/>
      <c r="H418" s="45"/>
      <c r="W418" s="45"/>
    </row>
    <row r="419" ht="12.75" customHeight="1">
      <c r="G419" s="45"/>
      <c r="H419" s="45"/>
      <c r="W419" s="45"/>
    </row>
    <row r="420" ht="12.75" customHeight="1">
      <c r="G420" s="45"/>
      <c r="H420" s="45"/>
      <c r="W420" s="45"/>
    </row>
    <row r="421" ht="12.75" customHeight="1">
      <c r="G421" s="45"/>
      <c r="H421" s="45"/>
      <c r="W421" s="45"/>
    </row>
    <row r="422" ht="12.75" customHeight="1">
      <c r="G422" s="45"/>
      <c r="H422" s="45"/>
      <c r="W422" s="45"/>
    </row>
    <row r="423" ht="12.75" customHeight="1">
      <c r="G423" s="45"/>
      <c r="H423" s="45"/>
      <c r="W423" s="45"/>
    </row>
    <row r="424" ht="12.75" customHeight="1">
      <c r="G424" s="45"/>
      <c r="H424" s="45"/>
      <c r="W424" s="45"/>
    </row>
    <row r="425" ht="12.75" customHeight="1">
      <c r="G425" s="45"/>
      <c r="H425" s="45"/>
      <c r="W425" s="45"/>
    </row>
    <row r="426" ht="12.75" customHeight="1">
      <c r="G426" s="45"/>
      <c r="H426" s="45"/>
      <c r="W426" s="45"/>
    </row>
    <row r="427" ht="12.75" customHeight="1">
      <c r="G427" s="45"/>
      <c r="H427" s="45"/>
      <c r="W427" s="45"/>
    </row>
    <row r="428" ht="12.75" customHeight="1">
      <c r="G428" s="45"/>
      <c r="H428" s="45"/>
      <c r="W428" s="45"/>
    </row>
    <row r="429" ht="12.75" customHeight="1">
      <c r="G429" s="45"/>
      <c r="H429" s="45"/>
      <c r="W429" s="45"/>
    </row>
    <row r="430" ht="12.75" customHeight="1">
      <c r="G430" s="45"/>
      <c r="H430" s="45"/>
      <c r="W430" s="45"/>
    </row>
    <row r="431" ht="12.75" customHeight="1">
      <c r="G431" s="45"/>
      <c r="H431" s="45"/>
      <c r="W431" s="45"/>
    </row>
    <row r="432" ht="12.75" customHeight="1">
      <c r="G432" s="45"/>
      <c r="H432" s="45"/>
      <c r="W432" s="45"/>
    </row>
    <row r="433" ht="12.75" customHeight="1">
      <c r="G433" s="45"/>
      <c r="H433" s="45"/>
      <c r="W433" s="45"/>
    </row>
    <row r="434" ht="12.75" customHeight="1">
      <c r="G434" s="45"/>
      <c r="H434" s="45"/>
      <c r="W434" s="45"/>
    </row>
    <row r="435" ht="12.75" customHeight="1">
      <c r="G435" s="45"/>
      <c r="H435" s="45"/>
      <c r="W435" s="45"/>
    </row>
    <row r="436" ht="12.75" customHeight="1">
      <c r="G436" s="45"/>
      <c r="H436" s="45"/>
      <c r="W436" s="45"/>
    </row>
    <row r="437" ht="12.75" customHeight="1">
      <c r="G437" s="45"/>
      <c r="H437" s="45"/>
      <c r="W437" s="45"/>
    </row>
    <row r="438" ht="12.75" customHeight="1">
      <c r="G438" s="45"/>
      <c r="H438" s="45"/>
      <c r="W438" s="45"/>
    </row>
    <row r="439" ht="12.75" customHeight="1">
      <c r="G439" s="45"/>
      <c r="H439" s="45"/>
      <c r="W439" s="45"/>
    </row>
    <row r="440" ht="12.75" customHeight="1">
      <c r="G440" s="45"/>
      <c r="H440" s="45"/>
      <c r="W440" s="45"/>
    </row>
    <row r="441" ht="12.75" customHeight="1">
      <c r="G441" s="45"/>
      <c r="H441" s="45"/>
      <c r="W441" s="45"/>
    </row>
    <row r="442" ht="12.75" customHeight="1">
      <c r="G442" s="45"/>
      <c r="H442" s="45"/>
      <c r="W442" s="45"/>
    </row>
    <row r="443" ht="12.75" customHeight="1">
      <c r="G443" s="45"/>
      <c r="H443" s="45"/>
      <c r="W443" s="45"/>
    </row>
    <row r="444" ht="12.75" customHeight="1">
      <c r="G444" s="45"/>
      <c r="H444" s="45"/>
      <c r="W444" s="45"/>
    </row>
    <row r="445" ht="12.75" customHeight="1">
      <c r="G445" s="45"/>
      <c r="H445" s="45"/>
      <c r="W445" s="45"/>
    </row>
    <row r="446" ht="12.75" customHeight="1">
      <c r="G446" s="45"/>
      <c r="H446" s="45"/>
      <c r="W446" s="45"/>
    </row>
    <row r="447" ht="12.75" customHeight="1">
      <c r="G447" s="45"/>
      <c r="H447" s="45"/>
      <c r="W447" s="45"/>
    </row>
    <row r="448" ht="12.75" customHeight="1">
      <c r="G448" s="45"/>
      <c r="H448" s="45"/>
      <c r="W448" s="45"/>
    </row>
    <row r="449" ht="12.75" customHeight="1">
      <c r="G449" s="45"/>
      <c r="H449" s="45"/>
      <c r="W449" s="45"/>
    </row>
    <row r="450" ht="12.75" customHeight="1">
      <c r="G450" s="45"/>
      <c r="H450" s="45"/>
      <c r="W450" s="45"/>
    </row>
    <row r="451" ht="12.75" customHeight="1">
      <c r="G451" s="45"/>
      <c r="H451" s="45"/>
      <c r="W451" s="45"/>
    </row>
    <row r="452" ht="12.75" customHeight="1">
      <c r="G452" s="45"/>
      <c r="H452" s="45"/>
      <c r="W452" s="45"/>
    </row>
    <row r="453" ht="12.75" customHeight="1">
      <c r="G453" s="45"/>
      <c r="H453" s="45"/>
      <c r="W453" s="45"/>
    </row>
    <row r="454" ht="12.75" customHeight="1">
      <c r="G454" s="45"/>
      <c r="H454" s="45"/>
      <c r="W454" s="45"/>
    </row>
    <row r="455" ht="12.75" customHeight="1">
      <c r="G455" s="45"/>
      <c r="H455" s="45"/>
      <c r="W455" s="45"/>
    </row>
    <row r="456" ht="12.75" customHeight="1">
      <c r="G456" s="45"/>
      <c r="H456" s="45"/>
      <c r="W456" s="45"/>
    </row>
    <row r="457" ht="12.75" customHeight="1">
      <c r="G457" s="45"/>
      <c r="H457" s="45"/>
      <c r="W457" s="45"/>
    </row>
    <row r="458" ht="12.75" customHeight="1">
      <c r="G458" s="45"/>
      <c r="H458" s="45"/>
      <c r="W458" s="45"/>
    </row>
    <row r="459" ht="12.75" customHeight="1">
      <c r="G459" s="45"/>
      <c r="H459" s="45"/>
      <c r="W459" s="45"/>
    </row>
    <row r="460" ht="12.75" customHeight="1">
      <c r="G460" s="45"/>
      <c r="H460" s="45"/>
      <c r="W460" s="45"/>
    </row>
    <row r="461" ht="12.75" customHeight="1">
      <c r="G461" s="45"/>
      <c r="H461" s="45"/>
      <c r="W461" s="45"/>
    </row>
    <row r="462" ht="12.75" customHeight="1">
      <c r="G462" s="45"/>
      <c r="H462" s="45"/>
      <c r="W462" s="45"/>
    </row>
    <row r="463" ht="12.75" customHeight="1">
      <c r="G463" s="45"/>
      <c r="H463" s="45"/>
      <c r="W463" s="45"/>
    </row>
    <row r="464" ht="12.75" customHeight="1">
      <c r="G464" s="45"/>
      <c r="H464" s="45"/>
      <c r="W464" s="45"/>
    </row>
    <row r="465" ht="12.75" customHeight="1">
      <c r="G465" s="45"/>
      <c r="H465" s="45"/>
      <c r="W465" s="45"/>
    </row>
    <row r="466" ht="12.75" customHeight="1">
      <c r="G466" s="45"/>
      <c r="H466" s="45"/>
      <c r="W466" s="45"/>
    </row>
    <row r="467" ht="12.75" customHeight="1">
      <c r="G467" s="45"/>
      <c r="H467" s="45"/>
      <c r="W467" s="45"/>
    </row>
    <row r="468" ht="12.75" customHeight="1">
      <c r="G468" s="45"/>
      <c r="H468" s="45"/>
      <c r="W468" s="45"/>
    </row>
    <row r="469" ht="12.75" customHeight="1">
      <c r="G469" s="45"/>
      <c r="H469" s="45"/>
      <c r="W469" s="45"/>
    </row>
    <row r="470" ht="12.75" customHeight="1">
      <c r="G470" s="45"/>
      <c r="H470" s="45"/>
      <c r="W470" s="45"/>
    </row>
    <row r="471" ht="12.75" customHeight="1">
      <c r="G471" s="45"/>
      <c r="H471" s="45"/>
      <c r="W471" s="45"/>
    </row>
    <row r="472" ht="12.75" customHeight="1">
      <c r="G472" s="45"/>
      <c r="H472" s="45"/>
      <c r="W472" s="45"/>
    </row>
    <row r="473" ht="12.75" customHeight="1">
      <c r="G473" s="45"/>
      <c r="H473" s="45"/>
      <c r="W473" s="45"/>
    </row>
    <row r="474" ht="12.75" customHeight="1">
      <c r="G474" s="45"/>
      <c r="H474" s="45"/>
      <c r="W474" s="45"/>
    </row>
    <row r="475" ht="12.75" customHeight="1">
      <c r="G475" s="45"/>
      <c r="H475" s="45"/>
      <c r="W475" s="45"/>
    </row>
    <row r="476" ht="12.75" customHeight="1">
      <c r="G476" s="45"/>
      <c r="H476" s="45"/>
      <c r="W476" s="45"/>
    </row>
    <row r="477" ht="12.75" customHeight="1">
      <c r="G477" s="45"/>
      <c r="H477" s="45"/>
      <c r="W477" s="45"/>
    </row>
    <row r="478" ht="12.75" customHeight="1">
      <c r="G478" s="45"/>
      <c r="H478" s="45"/>
      <c r="W478" s="45"/>
    </row>
    <row r="479" ht="12.75" customHeight="1">
      <c r="G479" s="45"/>
      <c r="H479" s="45"/>
      <c r="W479" s="45"/>
    </row>
    <row r="480" ht="12.75" customHeight="1">
      <c r="G480" s="45"/>
      <c r="H480" s="45"/>
      <c r="W480" s="45"/>
    </row>
    <row r="481" ht="12.75" customHeight="1">
      <c r="G481" s="45"/>
      <c r="H481" s="45"/>
      <c r="W481" s="45"/>
    </row>
    <row r="482" ht="12.75" customHeight="1">
      <c r="G482" s="45"/>
      <c r="H482" s="45"/>
      <c r="W482" s="45"/>
    </row>
    <row r="483" ht="12.75" customHeight="1">
      <c r="G483" s="45"/>
      <c r="H483" s="45"/>
      <c r="W483" s="45"/>
    </row>
    <row r="484" ht="12.75" customHeight="1">
      <c r="G484" s="45"/>
      <c r="H484" s="45"/>
      <c r="W484" s="45"/>
    </row>
    <row r="485" ht="12.75" customHeight="1">
      <c r="G485" s="45"/>
      <c r="H485" s="45"/>
      <c r="W485" s="45"/>
    </row>
    <row r="486" ht="12.75" customHeight="1">
      <c r="G486" s="45"/>
      <c r="H486" s="45"/>
      <c r="W486" s="45"/>
    </row>
    <row r="487" ht="12.75" customHeight="1">
      <c r="G487" s="45"/>
      <c r="H487" s="45"/>
      <c r="W487" s="45"/>
    </row>
    <row r="488" ht="12.75" customHeight="1">
      <c r="G488" s="45"/>
      <c r="H488" s="45"/>
      <c r="W488" s="45"/>
    </row>
    <row r="489" ht="12.75" customHeight="1">
      <c r="G489" s="45"/>
      <c r="H489" s="45"/>
      <c r="W489" s="45"/>
    </row>
    <row r="490" ht="12.75" customHeight="1">
      <c r="G490" s="45"/>
      <c r="H490" s="45"/>
      <c r="W490" s="45"/>
    </row>
    <row r="491" ht="12.75" customHeight="1">
      <c r="G491" s="45"/>
      <c r="H491" s="45"/>
      <c r="W491" s="45"/>
    </row>
    <row r="492" ht="12.75" customHeight="1">
      <c r="G492" s="45"/>
      <c r="H492" s="45"/>
      <c r="W492" s="45"/>
    </row>
    <row r="493" ht="12.75" customHeight="1">
      <c r="G493" s="45"/>
      <c r="H493" s="45"/>
      <c r="W493" s="45"/>
    </row>
    <row r="494" ht="12.75" customHeight="1">
      <c r="G494" s="45"/>
      <c r="H494" s="45"/>
      <c r="W494" s="45"/>
    </row>
    <row r="495" ht="12.75" customHeight="1">
      <c r="G495" s="45"/>
      <c r="H495" s="45"/>
      <c r="W495" s="45"/>
    </row>
    <row r="496" ht="12.75" customHeight="1">
      <c r="G496" s="45"/>
      <c r="H496" s="45"/>
      <c r="W496" s="45"/>
    </row>
    <row r="497" ht="12.75" customHeight="1">
      <c r="G497" s="45"/>
      <c r="H497" s="45"/>
      <c r="W497" s="45"/>
    </row>
    <row r="498" ht="12.75" customHeight="1">
      <c r="G498" s="45"/>
      <c r="H498" s="45"/>
      <c r="W498" s="45"/>
    </row>
    <row r="499" ht="12.75" customHeight="1">
      <c r="G499" s="45"/>
      <c r="H499" s="45"/>
      <c r="W499" s="45"/>
    </row>
    <row r="500" ht="12.75" customHeight="1">
      <c r="G500" s="45"/>
      <c r="H500" s="45"/>
      <c r="W500" s="45"/>
    </row>
    <row r="501" ht="12.75" customHeight="1">
      <c r="G501" s="45"/>
      <c r="H501" s="45"/>
      <c r="W501" s="45"/>
    </row>
    <row r="502" ht="12.75" customHeight="1">
      <c r="G502" s="45"/>
      <c r="H502" s="45"/>
      <c r="W502" s="45"/>
    </row>
    <row r="503" ht="12.75" customHeight="1">
      <c r="G503" s="45"/>
      <c r="H503" s="45"/>
      <c r="W503" s="45"/>
    </row>
    <row r="504" ht="12.75" customHeight="1">
      <c r="G504" s="45"/>
      <c r="H504" s="45"/>
      <c r="W504" s="45"/>
    </row>
    <row r="505" ht="12.75" customHeight="1">
      <c r="G505" s="45"/>
      <c r="H505" s="45"/>
      <c r="W505" s="45"/>
    </row>
    <row r="506" ht="12.75" customHeight="1">
      <c r="G506" s="45"/>
      <c r="H506" s="45"/>
      <c r="W506" s="45"/>
    </row>
    <row r="507" ht="12.75" customHeight="1">
      <c r="G507" s="45"/>
      <c r="H507" s="45"/>
      <c r="W507" s="45"/>
    </row>
    <row r="508" ht="12.75" customHeight="1">
      <c r="G508" s="45"/>
      <c r="H508" s="45"/>
      <c r="W508" s="45"/>
    </row>
    <row r="509" ht="12.75" customHeight="1">
      <c r="G509" s="45"/>
      <c r="H509" s="45"/>
      <c r="W509" s="45"/>
    </row>
    <row r="510" ht="12.75" customHeight="1">
      <c r="G510" s="45"/>
      <c r="H510" s="45"/>
      <c r="W510" s="45"/>
    </row>
    <row r="511" ht="12.75" customHeight="1">
      <c r="G511" s="45"/>
      <c r="H511" s="45"/>
      <c r="W511" s="45"/>
    </row>
    <row r="512" ht="12.75" customHeight="1">
      <c r="G512" s="45"/>
      <c r="H512" s="45"/>
      <c r="W512" s="45"/>
    </row>
    <row r="513" ht="12.75" customHeight="1">
      <c r="G513" s="45"/>
      <c r="H513" s="45"/>
      <c r="W513" s="45"/>
    </row>
    <row r="514" ht="12.75" customHeight="1">
      <c r="G514" s="45"/>
      <c r="H514" s="45"/>
      <c r="W514" s="45"/>
    </row>
    <row r="515" ht="12.75" customHeight="1">
      <c r="G515" s="45"/>
      <c r="H515" s="45"/>
      <c r="W515" s="45"/>
    </row>
    <row r="516" ht="12.75" customHeight="1">
      <c r="G516" s="45"/>
      <c r="H516" s="45"/>
      <c r="W516" s="45"/>
    </row>
    <row r="517" ht="12.75" customHeight="1">
      <c r="G517" s="45"/>
      <c r="H517" s="45"/>
      <c r="W517" s="45"/>
    </row>
    <row r="518" ht="12.75" customHeight="1">
      <c r="G518" s="45"/>
      <c r="H518" s="45"/>
      <c r="W518" s="45"/>
    </row>
    <row r="519" ht="12.75" customHeight="1">
      <c r="G519" s="45"/>
      <c r="H519" s="45"/>
      <c r="W519" s="45"/>
    </row>
    <row r="520" ht="12.75" customHeight="1">
      <c r="G520" s="45"/>
      <c r="H520" s="45"/>
      <c r="W520" s="45"/>
    </row>
    <row r="521" ht="12.75" customHeight="1">
      <c r="G521" s="45"/>
      <c r="H521" s="45"/>
      <c r="W521" s="45"/>
    </row>
    <row r="522" ht="12.75" customHeight="1">
      <c r="G522" s="45"/>
      <c r="H522" s="45"/>
      <c r="W522" s="45"/>
    </row>
    <row r="523" ht="12.75" customHeight="1">
      <c r="G523" s="45"/>
      <c r="H523" s="45"/>
      <c r="W523" s="45"/>
    </row>
    <row r="524" ht="12.75" customHeight="1">
      <c r="G524" s="45"/>
      <c r="H524" s="45"/>
      <c r="W524" s="45"/>
    </row>
    <row r="525" ht="12.75" customHeight="1">
      <c r="G525" s="45"/>
      <c r="H525" s="45"/>
      <c r="W525" s="45"/>
    </row>
    <row r="526" ht="12.75" customHeight="1">
      <c r="G526" s="45"/>
      <c r="H526" s="45"/>
      <c r="W526" s="45"/>
    </row>
    <row r="527" ht="12.75" customHeight="1">
      <c r="G527" s="45"/>
      <c r="H527" s="45"/>
      <c r="W527" s="45"/>
    </row>
    <row r="528" ht="12.75" customHeight="1">
      <c r="G528" s="45"/>
      <c r="H528" s="45"/>
      <c r="W528" s="45"/>
    </row>
    <row r="529" ht="12.75" customHeight="1">
      <c r="G529" s="45"/>
      <c r="H529" s="45"/>
      <c r="W529" s="45"/>
    </row>
    <row r="530" ht="12.75" customHeight="1">
      <c r="G530" s="45"/>
      <c r="H530" s="45"/>
      <c r="W530" s="45"/>
    </row>
    <row r="531" ht="12.75" customHeight="1">
      <c r="G531" s="45"/>
      <c r="H531" s="45"/>
      <c r="W531" s="45"/>
    </row>
    <row r="532" ht="12.75" customHeight="1">
      <c r="G532" s="45"/>
      <c r="H532" s="45"/>
      <c r="W532" s="45"/>
    </row>
    <row r="533" ht="12.75" customHeight="1">
      <c r="G533" s="45"/>
      <c r="H533" s="45"/>
      <c r="W533" s="45"/>
    </row>
    <row r="534" ht="12.75" customHeight="1">
      <c r="G534" s="45"/>
      <c r="H534" s="45"/>
      <c r="W534" s="45"/>
    </row>
    <row r="535" ht="12.75" customHeight="1">
      <c r="G535" s="45"/>
      <c r="H535" s="45"/>
      <c r="W535" s="45"/>
    </row>
    <row r="536" ht="12.75" customHeight="1">
      <c r="G536" s="45"/>
      <c r="H536" s="45"/>
      <c r="W536" s="45"/>
    </row>
    <row r="537" ht="12.75" customHeight="1">
      <c r="G537" s="45"/>
      <c r="H537" s="45"/>
      <c r="W537" s="45"/>
    </row>
    <row r="538" ht="12.75" customHeight="1">
      <c r="G538" s="45"/>
      <c r="H538" s="45"/>
      <c r="W538" s="45"/>
    </row>
    <row r="539" ht="12.75" customHeight="1">
      <c r="G539" s="45"/>
      <c r="H539" s="45"/>
      <c r="W539" s="45"/>
    </row>
    <row r="540" ht="12.75" customHeight="1">
      <c r="G540" s="45"/>
      <c r="H540" s="45"/>
      <c r="W540" s="45"/>
    </row>
    <row r="541" ht="12.75" customHeight="1">
      <c r="G541" s="45"/>
      <c r="H541" s="45"/>
      <c r="W541" s="45"/>
    </row>
    <row r="542" ht="12.75" customHeight="1">
      <c r="G542" s="45"/>
      <c r="H542" s="45"/>
      <c r="W542" s="45"/>
    </row>
    <row r="543" ht="12.75" customHeight="1">
      <c r="G543" s="45"/>
      <c r="H543" s="45"/>
      <c r="W543" s="45"/>
    </row>
    <row r="544" ht="12.75" customHeight="1">
      <c r="G544" s="45"/>
      <c r="H544" s="45"/>
      <c r="W544" s="45"/>
    </row>
    <row r="545" ht="12.75" customHeight="1">
      <c r="G545" s="45"/>
      <c r="H545" s="45"/>
      <c r="W545" s="45"/>
    </row>
    <row r="546" ht="12.75" customHeight="1">
      <c r="G546" s="45"/>
      <c r="H546" s="45"/>
      <c r="W546" s="45"/>
    </row>
    <row r="547" ht="12.75" customHeight="1">
      <c r="G547" s="45"/>
      <c r="H547" s="45"/>
      <c r="W547" s="45"/>
    </row>
    <row r="548" ht="12.75" customHeight="1">
      <c r="G548" s="45"/>
      <c r="H548" s="45"/>
      <c r="W548" s="45"/>
    </row>
    <row r="549" ht="12.75" customHeight="1">
      <c r="G549" s="45"/>
      <c r="H549" s="45"/>
      <c r="W549" s="45"/>
    </row>
    <row r="550" ht="12.75" customHeight="1">
      <c r="G550" s="45"/>
      <c r="H550" s="45"/>
      <c r="W550" s="45"/>
    </row>
    <row r="551" ht="12.75" customHeight="1">
      <c r="G551" s="45"/>
      <c r="H551" s="45"/>
      <c r="W551" s="45"/>
    </row>
    <row r="552" ht="12.75" customHeight="1">
      <c r="G552" s="45"/>
      <c r="H552" s="45"/>
      <c r="W552" s="45"/>
    </row>
    <row r="553" ht="12.75" customHeight="1">
      <c r="G553" s="45"/>
      <c r="H553" s="45"/>
      <c r="W553" s="45"/>
    </row>
    <row r="554" ht="12.75" customHeight="1">
      <c r="G554" s="45"/>
      <c r="H554" s="45"/>
      <c r="W554" s="45"/>
    </row>
    <row r="555" ht="12.75" customHeight="1">
      <c r="G555" s="45"/>
      <c r="H555" s="45"/>
      <c r="W555" s="45"/>
    </row>
    <row r="556" ht="12.75" customHeight="1">
      <c r="G556" s="45"/>
      <c r="H556" s="45"/>
      <c r="W556" s="45"/>
    </row>
    <row r="557" ht="12.75" customHeight="1">
      <c r="G557" s="45"/>
      <c r="H557" s="45"/>
      <c r="W557" s="45"/>
    </row>
    <row r="558" ht="12.75" customHeight="1">
      <c r="G558" s="45"/>
      <c r="H558" s="45"/>
      <c r="W558" s="45"/>
    </row>
    <row r="559" ht="12.75" customHeight="1">
      <c r="G559" s="45"/>
      <c r="H559" s="45"/>
      <c r="W559" s="45"/>
    </row>
    <row r="560" ht="12.75" customHeight="1">
      <c r="G560" s="45"/>
      <c r="H560" s="45"/>
      <c r="W560" s="45"/>
    </row>
    <row r="561" ht="12.75" customHeight="1">
      <c r="G561" s="45"/>
      <c r="H561" s="45"/>
      <c r="W561" s="45"/>
    </row>
    <row r="562" ht="12.75" customHeight="1">
      <c r="G562" s="45"/>
      <c r="H562" s="45"/>
      <c r="W562" s="45"/>
    </row>
    <row r="563" ht="12.75" customHeight="1">
      <c r="G563" s="45"/>
      <c r="H563" s="45"/>
      <c r="W563" s="45"/>
    </row>
    <row r="564" ht="12.75" customHeight="1">
      <c r="G564" s="45"/>
      <c r="H564" s="45"/>
      <c r="W564" s="45"/>
    </row>
    <row r="565" ht="12.75" customHeight="1">
      <c r="G565" s="45"/>
      <c r="H565" s="45"/>
      <c r="W565" s="45"/>
    </row>
    <row r="566" ht="12.75" customHeight="1">
      <c r="G566" s="45"/>
      <c r="H566" s="45"/>
      <c r="W566" s="45"/>
    </row>
    <row r="567" ht="12.75" customHeight="1">
      <c r="G567" s="45"/>
      <c r="H567" s="45"/>
      <c r="W567" s="45"/>
    </row>
    <row r="568" ht="12.75" customHeight="1">
      <c r="G568" s="45"/>
      <c r="H568" s="45"/>
      <c r="W568" s="45"/>
    </row>
    <row r="569" ht="12.75" customHeight="1">
      <c r="G569" s="45"/>
      <c r="H569" s="45"/>
      <c r="W569" s="45"/>
    </row>
    <row r="570" ht="12.75" customHeight="1">
      <c r="G570" s="45"/>
      <c r="H570" s="45"/>
      <c r="W570" s="45"/>
    </row>
    <row r="571" ht="12.75" customHeight="1">
      <c r="G571" s="45"/>
      <c r="H571" s="45"/>
      <c r="W571" s="45"/>
    </row>
    <row r="572" ht="12.75" customHeight="1">
      <c r="G572" s="45"/>
      <c r="H572" s="45"/>
      <c r="W572" s="45"/>
    </row>
    <row r="573" ht="12.75" customHeight="1">
      <c r="G573" s="45"/>
      <c r="H573" s="45"/>
      <c r="W573" s="45"/>
    </row>
    <row r="574" ht="12.75" customHeight="1">
      <c r="G574" s="45"/>
      <c r="H574" s="45"/>
      <c r="W574" s="45"/>
    </row>
    <row r="575" ht="12.75" customHeight="1">
      <c r="G575" s="45"/>
      <c r="H575" s="45"/>
      <c r="W575" s="45"/>
    </row>
    <row r="576" ht="12.75" customHeight="1">
      <c r="G576" s="45"/>
      <c r="H576" s="45"/>
      <c r="W576" s="45"/>
    </row>
    <row r="577" ht="12.75" customHeight="1">
      <c r="G577" s="45"/>
      <c r="H577" s="45"/>
      <c r="W577" s="45"/>
    </row>
    <row r="578" ht="12.75" customHeight="1">
      <c r="G578" s="45"/>
      <c r="H578" s="45"/>
      <c r="W578" s="45"/>
    </row>
    <row r="579" ht="12.75" customHeight="1">
      <c r="G579" s="45"/>
      <c r="H579" s="45"/>
      <c r="W579" s="45"/>
    </row>
    <row r="580" ht="12.75" customHeight="1">
      <c r="G580" s="45"/>
      <c r="H580" s="45"/>
      <c r="W580" s="45"/>
    </row>
    <row r="581" ht="12.75" customHeight="1">
      <c r="G581" s="45"/>
      <c r="H581" s="45"/>
      <c r="W581" s="45"/>
    </row>
    <row r="582" ht="12.75" customHeight="1">
      <c r="G582" s="45"/>
      <c r="H582" s="45"/>
      <c r="W582" s="45"/>
    </row>
    <row r="583" ht="12.75" customHeight="1">
      <c r="G583" s="45"/>
      <c r="H583" s="45"/>
      <c r="W583" s="45"/>
    </row>
    <row r="584" ht="12.75" customHeight="1">
      <c r="G584" s="45"/>
      <c r="H584" s="45"/>
      <c r="W584" s="45"/>
    </row>
    <row r="585" ht="12.75" customHeight="1">
      <c r="G585" s="45"/>
      <c r="H585" s="45"/>
      <c r="W585" s="45"/>
    </row>
    <row r="586" ht="12.75" customHeight="1">
      <c r="G586" s="45"/>
      <c r="H586" s="45"/>
      <c r="W586" s="45"/>
    </row>
    <row r="587" ht="12.75" customHeight="1">
      <c r="G587" s="45"/>
      <c r="H587" s="45"/>
      <c r="W587" s="45"/>
    </row>
    <row r="588" ht="12.75" customHeight="1">
      <c r="G588" s="45"/>
      <c r="H588" s="45"/>
      <c r="W588" s="45"/>
    </row>
    <row r="589" ht="12.75" customHeight="1">
      <c r="G589" s="45"/>
      <c r="H589" s="45"/>
      <c r="W589" s="45"/>
    </row>
    <row r="590" ht="12.75" customHeight="1">
      <c r="G590" s="45"/>
      <c r="H590" s="45"/>
      <c r="W590" s="45"/>
    </row>
    <row r="591" ht="12.75" customHeight="1">
      <c r="G591" s="45"/>
      <c r="H591" s="45"/>
      <c r="W591" s="45"/>
    </row>
    <row r="592" ht="12.75" customHeight="1">
      <c r="G592" s="45"/>
      <c r="H592" s="45"/>
      <c r="W592" s="45"/>
    </row>
    <row r="593" ht="12.75" customHeight="1">
      <c r="G593" s="45"/>
      <c r="H593" s="45"/>
      <c r="W593" s="45"/>
    </row>
    <row r="594" ht="12.75" customHeight="1">
      <c r="G594" s="45"/>
      <c r="H594" s="45"/>
      <c r="W594" s="45"/>
    </row>
    <row r="595" ht="12.75" customHeight="1">
      <c r="G595" s="45"/>
      <c r="H595" s="45"/>
      <c r="W595" s="45"/>
    </row>
    <row r="596" ht="12.75" customHeight="1">
      <c r="G596" s="45"/>
      <c r="H596" s="45"/>
      <c r="W596" s="45"/>
    </row>
    <row r="597" ht="12.75" customHeight="1">
      <c r="G597" s="45"/>
      <c r="H597" s="45"/>
      <c r="W597" s="45"/>
    </row>
    <row r="598" ht="12.75" customHeight="1">
      <c r="G598" s="45"/>
      <c r="H598" s="45"/>
      <c r="W598" s="45"/>
    </row>
    <row r="599" ht="12.75" customHeight="1">
      <c r="G599" s="45"/>
      <c r="H599" s="45"/>
      <c r="W599" s="45"/>
    </row>
    <row r="600" ht="12.75" customHeight="1">
      <c r="G600" s="45"/>
      <c r="H600" s="45"/>
      <c r="W600" s="45"/>
    </row>
    <row r="601" ht="12.75" customHeight="1">
      <c r="G601" s="45"/>
      <c r="H601" s="45"/>
      <c r="W601" s="45"/>
    </row>
    <row r="602" ht="12.75" customHeight="1">
      <c r="G602" s="45"/>
      <c r="H602" s="45"/>
      <c r="W602" s="45"/>
    </row>
    <row r="603" ht="12.75" customHeight="1">
      <c r="G603" s="45"/>
      <c r="H603" s="45"/>
      <c r="W603" s="45"/>
    </row>
    <row r="604" ht="12.75" customHeight="1">
      <c r="G604" s="45"/>
      <c r="H604" s="45"/>
      <c r="W604" s="45"/>
    </row>
    <row r="605" ht="12.75" customHeight="1">
      <c r="G605" s="45"/>
      <c r="H605" s="45"/>
      <c r="W605" s="45"/>
    </row>
    <row r="606" ht="12.75" customHeight="1">
      <c r="G606" s="45"/>
      <c r="H606" s="45"/>
      <c r="W606" s="45"/>
    </row>
    <row r="607" ht="12.75" customHeight="1">
      <c r="G607" s="45"/>
      <c r="H607" s="45"/>
      <c r="W607" s="45"/>
    </row>
    <row r="608" ht="12.75" customHeight="1">
      <c r="G608" s="45"/>
      <c r="H608" s="45"/>
      <c r="W608" s="45"/>
    </row>
    <row r="609" ht="12.75" customHeight="1">
      <c r="G609" s="45"/>
      <c r="H609" s="45"/>
      <c r="W609" s="45"/>
    </row>
    <row r="610" ht="12.75" customHeight="1">
      <c r="G610" s="45"/>
      <c r="H610" s="45"/>
      <c r="W610" s="45"/>
    </row>
    <row r="611" ht="12.75" customHeight="1">
      <c r="G611" s="45"/>
      <c r="H611" s="45"/>
      <c r="W611" s="45"/>
    </row>
    <row r="612" ht="12.75" customHeight="1">
      <c r="G612" s="45"/>
      <c r="H612" s="45"/>
      <c r="W612" s="45"/>
    </row>
    <row r="613" ht="12.75" customHeight="1">
      <c r="G613" s="45"/>
      <c r="H613" s="45"/>
      <c r="W613" s="45"/>
    </row>
    <row r="614" ht="12.75" customHeight="1">
      <c r="G614" s="45"/>
      <c r="H614" s="45"/>
      <c r="W614" s="45"/>
    </row>
    <row r="615" ht="12.75" customHeight="1">
      <c r="G615" s="45"/>
      <c r="H615" s="45"/>
      <c r="W615" s="45"/>
    </row>
    <row r="616" ht="12.75" customHeight="1">
      <c r="G616" s="45"/>
      <c r="H616" s="45"/>
      <c r="W616" s="45"/>
    </row>
    <row r="617" ht="12.75" customHeight="1">
      <c r="G617" s="45"/>
      <c r="H617" s="45"/>
      <c r="W617" s="45"/>
    </row>
    <row r="618" ht="12.75" customHeight="1">
      <c r="G618" s="45"/>
      <c r="H618" s="45"/>
      <c r="W618" s="45"/>
    </row>
    <row r="619" ht="12.75" customHeight="1">
      <c r="G619" s="45"/>
      <c r="H619" s="45"/>
      <c r="W619" s="45"/>
    </row>
    <row r="620" ht="12.75" customHeight="1">
      <c r="G620" s="45"/>
      <c r="H620" s="45"/>
      <c r="W620" s="45"/>
    </row>
    <row r="621" ht="12.75" customHeight="1">
      <c r="G621" s="45"/>
      <c r="H621" s="45"/>
      <c r="W621" s="45"/>
    </row>
    <row r="622" ht="12.75" customHeight="1">
      <c r="G622" s="45"/>
      <c r="H622" s="45"/>
      <c r="W622" s="45"/>
    </row>
    <row r="623" ht="12.75" customHeight="1">
      <c r="G623" s="45"/>
      <c r="H623" s="45"/>
      <c r="W623" s="45"/>
    </row>
    <row r="624" ht="12.75" customHeight="1">
      <c r="G624" s="45"/>
      <c r="H624" s="45"/>
      <c r="W624" s="45"/>
    </row>
    <row r="625" ht="12.75" customHeight="1">
      <c r="G625" s="45"/>
      <c r="H625" s="45"/>
      <c r="W625" s="45"/>
    </row>
    <row r="626" ht="12.75" customHeight="1">
      <c r="G626" s="45"/>
      <c r="H626" s="45"/>
      <c r="W626" s="45"/>
    </row>
    <row r="627" ht="12.75" customHeight="1">
      <c r="G627" s="45"/>
      <c r="H627" s="45"/>
      <c r="W627" s="45"/>
    </row>
    <row r="628" ht="12.75" customHeight="1">
      <c r="G628" s="45"/>
      <c r="H628" s="45"/>
      <c r="W628" s="45"/>
    </row>
    <row r="629" ht="12.75" customHeight="1">
      <c r="G629" s="45"/>
      <c r="H629" s="45"/>
      <c r="W629" s="45"/>
    </row>
    <row r="630" ht="12.75" customHeight="1">
      <c r="G630" s="45"/>
      <c r="H630" s="45"/>
      <c r="W630" s="45"/>
    </row>
    <row r="631" ht="12.75" customHeight="1">
      <c r="G631" s="45"/>
      <c r="H631" s="45"/>
      <c r="W631" s="45"/>
    </row>
    <row r="632" ht="12.75" customHeight="1">
      <c r="G632" s="45"/>
      <c r="H632" s="45"/>
      <c r="W632" s="45"/>
    </row>
    <row r="633" ht="12.75" customHeight="1">
      <c r="G633" s="45"/>
      <c r="H633" s="45"/>
      <c r="W633" s="45"/>
    </row>
    <row r="634" ht="12.75" customHeight="1">
      <c r="G634" s="45"/>
      <c r="H634" s="45"/>
      <c r="W634" s="45"/>
    </row>
    <row r="635" ht="12.75" customHeight="1">
      <c r="G635" s="45"/>
      <c r="H635" s="45"/>
      <c r="W635" s="45"/>
    </row>
    <row r="636" ht="12.75" customHeight="1">
      <c r="G636" s="45"/>
      <c r="H636" s="45"/>
      <c r="W636" s="45"/>
    </row>
    <row r="637" ht="12.75" customHeight="1">
      <c r="G637" s="45"/>
      <c r="H637" s="45"/>
      <c r="W637" s="45"/>
    </row>
    <row r="638" ht="12.75" customHeight="1">
      <c r="G638" s="45"/>
      <c r="H638" s="45"/>
      <c r="W638" s="45"/>
    </row>
    <row r="639" ht="12.75" customHeight="1">
      <c r="G639" s="45"/>
      <c r="H639" s="45"/>
      <c r="W639" s="45"/>
    </row>
    <row r="640" ht="12.75" customHeight="1">
      <c r="G640" s="45"/>
      <c r="H640" s="45"/>
      <c r="W640" s="45"/>
    </row>
    <row r="641" ht="12.75" customHeight="1">
      <c r="G641" s="45"/>
      <c r="H641" s="45"/>
      <c r="W641" s="45"/>
    </row>
    <row r="642" ht="12.75" customHeight="1">
      <c r="G642" s="45"/>
      <c r="H642" s="45"/>
      <c r="W642" s="45"/>
    </row>
    <row r="643" ht="12.75" customHeight="1">
      <c r="G643" s="45"/>
      <c r="H643" s="45"/>
      <c r="W643" s="45"/>
    </row>
    <row r="644" ht="12.75" customHeight="1">
      <c r="G644" s="45"/>
      <c r="H644" s="45"/>
      <c r="W644" s="45"/>
    </row>
    <row r="645" ht="12.75" customHeight="1">
      <c r="G645" s="45"/>
      <c r="H645" s="45"/>
      <c r="W645" s="45"/>
    </row>
    <row r="646" ht="12.75" customHeight="1">
      <c r="G646" s="45"/>
      <c r="H646" s="45"/>
      <c r="W646" s="45"/>
    </row>
    <row r="647" ht="12.75" customHeight="1">
      <c r="G647" s="45"/>
      <c r="H647" s="45"/>
      <c r="W647" s="45"/>
    </row>
    <row r="648" ht="12.75" customHeight="1">
      <c r="G648" s="45"/>
      <c r="H648" s="45"/>
      <c r="W648" s="45"/>
    </row>
    <row r="649" ht="12.75" customHeight="1">
      <c r="G649" s="45"/>
      <c r="H649" s="45"/>
      <c r="W649" s="45"/>
    </row>
    <row r="650" ht="12.75" customHeight="1">
      <c r="G650" s="45"/>
      <c r="H650" s="45"/>
      <c r="W650" s="45"/>
    </row>
    <row r="651" ht="12.75" customHeight="1">
      <c r="G651" s="45"/>
      <c r="H651" s="45"/>
      <c r="W651" s="45"/>
    </row>
    <row r="652" ht="12.75" customHeight="1">
      <c r="G652" s="45"/>
      <c r="H652" s="45"/>
      <c r="W652" s="45"/>
    </row>
    <row r="653" ht="12.75" customHeight="1">
      <c r="G653" s="45"/>
      <c r="H653" s="45"/>
      <c r="W653" s="45"/>
    </row>
    <row r="654" ht="12.75" customHeight="1">
      <c r="G654" s="45"/>
      <c r="H654" s="45"/>
      <c r="W654" s="45"/>
    </row>
    <row r="655" ht="12.75" customHeight="1">
      <c r="G655" s="45"/>
      <c r="H655" s="45"/>
      <c r="W655" s="45"/>
    </row>
    <row r="656" ht="12.75" customHeight="1">
      <c r="G656" s="45"/>
      <c r="H656" s="45"/>
      <c r="W656" s="45"/>
    </row>
    <row r="657" ht="12.75" customHeight="1">
      <c r="G657" s="45"/>
      <c r="H657" s="45"/>
      <c r="W657" s="45"/>
    </row>
    <row r="658" ht="12.75" customHeight="1">
      <c r="G658" s="45"/>
      <c r="H658" s="45"/>
      <c r="W658" s="45"/>
    </row>
    <row r="659" ht="12.75" customHeight="1">
      <c r="G659" s="45"/>
      <c r="H659" s="45"/>
      <c r="W659" s="45"/>
    </row>
    <row r="660" ht="12.75" customHeight="1">
      <c r="G660" s="45"/>
      <c r="H660" s="45"/>
      <c r="W660" s="45"/>
    </row>
    <row r="661" ht="12.75" customHeight="1">
      <c r="G661" s="45"/>
      <c r="H661" s="45"/>
      <c r="W661" s="45"/>
    </row>
    <row r="662" ht="12.75" customHeight="1">
      <c r="G662" s="45"/>
      <c r="H662" s="45"/>
      <c r="W662" s="45"/>
    </row>
    <row r="663" ht="12.75" customHeight="1">
      <c r="G663" s="45"/>
      <c r="H663" s="45"/>
      <c r="W663" s="45"/>
    </row>
    <row r="664" ht="12.75" customHeight="1">
      <c r="G664" s="45"/>
      <c r="H664" s="45"/>
      <c r="W664" s="45"/>
    </row>
    <row r="665" ht="12.75" customHeight="1">
      <c r="G665" s="45"/>
      <c r="H665" s="45"/>
      <c r="W665" s="45"/>
    </row>
    <row r="666" ht="12.75" customHeight="1">
      <c r="G666" s="45"/>
      <c r="H666" s="45"/>
      <c r="W666" s="45"/>
    </row>
    <row r="667" ht="12.75" customHeight="1">
      <c r="G667" s="45"/>
      <c r="H667" s="45"/>
      <c r="W667" s="45"/>
    </row>
    <row r="668" ht="12.75" customHeight="1">
      <c r="G668" s="45"/>
      <c r="H668" s="45"/>
      <c r="W668" s="45"/>
    </row>
    <row r="669" ht="12.75" customHeight="1">
      <c r="G669" s="45"/>
      <c r="H669" s="45"/>
      <c r="W669" s="45"/>
    </row>
    <row r="670" ht="12.75" customHeight="1">
      <c r="G670" s="45"/>
      <c r="H670" s="45"/>
      <c r="W670" s="45"/>
    </row>
    <row r="671" ht="12.75" customHeight="1">
      <c r="G671" s="45"/>
      <c r="H671" s="45"/>
      <c r="W671" s="45"/>
    </row>
    <row r="672" ht="12.75" customHeight="1">
      <c r="G672" s="45"/>
      <c r="H672" s="45"/>
      <c r="W672" s="45"/>
    </row>
    <row r="673" ht="12.75" customHeight="1">
      <c r="G673" s="45"/>
      <c r="H673" s="45"/>
      <c r="W673" s="45"/>
    </row>
    <row r="674" ht="12.75" customHeight="1">
      <c r="G674" s="45"/>
      <c r="H674" s="45"/>
      <c r="W674" s="45"/>
    </row>
    <row r="675" ht="12.75" customHeight="1">
      <c r="G675" s="45"/>
      <c r="H675" s="45"/>
      <c r="W675" s="45"/>
    </row>
    <row r="676" ht="12.75" customHeight="1">
      <c r="G676" s="45"/>
      <c r="H676" s="45"/>
      <c r="W676" s="45"/>
    </row>
    <row r="677" ht="12.75" customHeight="1">
      <c r="G677" s="45"/>
      <c r="H677" s="45"/>
      <c r="W677" s="45"/>
    </row>
    <row r="678" ht="12.75" customHeight="1">
      <c r="G678" s="45"/>
      <c r="H678" s="45"/>
      <c r="W678" s="45"/>
    </row>
    <row r="679" ht="12.75" customHeight="1">
      <c r="G679" s="45"/>
      <c r="H679" s="45"/>
      <c r="W679" s="45"/>
    </row>
    <row r="680" ht="12.75" customHeight="1">
      <c r="G680" s="45"/>
      <c r="H680" s="45"/>
      <c r="W680" s="45"/>
    </row>
    <row r="681" ht="12.75" customHeight="1">
      <c r="G681" s="45"/>
      <c r="H681" s="45"/>
      <c r="W681" s="45"/>
    </row>
    <row r="682" ht="12.75" customHeight="1">
      <c r="G682" s="45"/>
      <c r="H682" s="45"/>
      <c r="W682" s="45"/>
    </row>
    <row r="683" ht="12.75" customHeight="1">
      <c r="G683" s="45"/>
      <c r="H683" s="45"/>
      <c r="W683" s="45"/>
    </row>
    <row r="684" ht="12.75" customHeight="1">
      <c r="G684" s="45"/>
      <c r="H684" s="45"/>
      <c r="W684" s="45"/>
    </row>
    <row r="685" ht="12.75" customHeight="1">
      <c r="G685" s="45"/>
      <c r="H685" s="45"/>
      <c r="W685" s="45"/>
    </row>
    <row r="686" ht="12.75" customHeight="1">
      <c r="G686" s="45"/>
      <c r="H686" s="45"/>
      <c r="W686" s="45"/>
    </row>
    <row r="687" ht="12.75" customHeight="1">
      <c r="G687" s="45"/>
      <c r="H687" s="45"/>
      <c r="W687" s="45"/>
    </row>
    <row r="688" ht="12.75" customHeight="1">
      <c r="G688" s="45"/>
      <c r="H688" s="45"/>
      <c r="W688" s="45"/>
    </row>
    <row r="689" ht="12.75" customHeight="1">
      <c r="G689" s="45"/>
      <c r="H689" s="45"/>
      <c r="W689" s="45"/>
    </row>
    <row r="690" ht="12.75" customHeight="1">
      <c r="G690" s="45"/>
      <c r="H690" s="45"/>
      <c r="W690" s="45"/>
    </row>
    <row r="691" ht="12.75" customHeight="1">
      <c r="G691" s="45"/>
      <c r="H691" s="45"/>
      <c r="W691" s="45"/>
    </row>
    <row r="692" ht="12.75" customHeight="1">
      <c r="G692" s="45"/>
      <c r="H692" s="45"/>
      <c r="W692" s="45"/>
    </row>
    <row r="693" ht="12.75" customHeight="1">
      <c r="G693" s="45"/>
      <c r="H693" s="45"/>
      <c r="W693" s="45"/>
    </row>
    <row r="694" ht="12.75" customHeight="1">
      <c r="G694" s="45"/>
      <c r="H694" s="45"/>
      <c r="W694" s="45"/>
    </row>
    <row r="695" ht="12.75" customHeight="1">
      <c r="G695" s="45"/>
      <c r="H695" s="45"/>
      <c r="W695" s="45"/>
    </row>
    <row r="696" ht="12.75" customHeight="1">
      <c r="G696" s="45"/>
      <c r="H696" s="45"/>
      <c r="W696" s="45"/>
    </row>
    <row r="697" ht="12.75" customHeight="1">
      <c r="G697" s="45"/>
      <c r="H697" s="45"/>
      <c r="W697" s="45"/>
    </row>
    <row r="698" ht="12.75" customHeight="1">
      <c r="G698" s="45"/>
      <c r="H698" s="45"/>
      <c r="W698" s="45"/>
    </row>
    <row r="699" ht="12.75" customHeight="1">
      <c r="G699" s="45"/>
      <c r="H699" s="45"/>
      <c r="W699" s="45"/>
    </row>
    <row r="700" ht="12.75" customHeight="1">
      <c r="G700" s="45"/>
      <c r="H700" s="45"/>
      <c r="W700" s="45"/>
    </row>
    <row r="701" ht="12.75" customHeight="1">
      <c r="G701" s="45"/>
      <c r="H701" s="45"/>
      <c r="W701" s="45"/>
    </row>
    <row r="702" ht="12.75" customHeight="1">
      <c r="G702" s="45"/>
      <c r="H702" s="45"/>
      <c r="W702" s="45"/>
    </row>
    <row r="703" ht="12.75" customHeight="1">
      <c r="G703" s="45"/>
      <c r="H703" s="45"/>
      <c r="W703" s="45"/>
    </row>
    <row r="704" ht="12.75" customHeight="1">
      <c r="G704" s="45"/>
      <c r="H704" s="45"/>
      <c r="W704" s="45"/>
    </row>
    <row r="705" ht="12.75" customHeight="1">
      <c r="G705" s="45"/>
      <c r="H705" s="45"/>
      <c r="W705" s="45"/>
    </row>
    <row r="706" ht="12.75" customHeight="1">
      <c r="G706" s="45"/>
      <c r="H706" s="45"/>
      <c r="W706" s="45"/>
    </row>
    <row r="707" ht="12.75" customHeight="1">
      <c r="G707" s="45"/>
      <c r="H707" s="45"/>
      <c r="W707" s="45"/>
    </row>
    <row r="708" ht="12.75" customHeight="1">
      <c r="G708" s="45"/>
      <c r="H708" s="45"/>
      <c r="W708" s="45"/>
    </row>
    <row r="709" ht="12.75" customHeight="1">
      <c r="G709" s="45"/>
      <c r="H709" s="45"/>
      <c r="W709" s="45"/>
    </row>
    <row r="710" ht="12.75" customHeight="1">
      <c r="G710" s="45"/>
      <c r="H710" s="45"/>
      <c r="W710" s="45"/>
    </row>
    <row r="711" ht="12.75" customHeight="1">
      <c r="G711" s="45"/>
      <c r="H711" s="45"/>
      <c r="W711" s="45"/>
    </row>
    <row r="712" ht="12.75" customHeight="1">
      <c r="G712" s="45"/>
      <c r="H712" s="45"/>
      <c r="W712" s="45"/>
    </row>
    <row r="713" ht="12.75" customHeight="1">
      <c r="G713" s="45"/>
      <c r="H713" s="45"/>
      <c r="W713" s="45"/>
    </row>
    <row r="714" ht="12.75" customHeight="1">
      <c r="G714" s="45"/>
      <c r="H714" s="45"/>
      <c r="W714" s="45"/>
    </row>
    <row r="715" ht="12.75" customHeight="1">
      <c r="G715" s="45"/>
      <c r="H715" s="45"/>
      <c r="W715" s="45"/>
    </row>
    <row r="716" ht="12.75" customHeight="1">
      <c r="G716" s="45"/>
      <c r="H716" s="45"/>
      <c r="W716" s="45"/>
    </row>
    <row r="717" ht="12.75" customHeight="1">
      <c r="G717" s="45"/>
      <c r="H717" s="45"/>
      <c r="W717" s="45"/>
    </row>
    <row r="718" ht="12.75" customHeight="1">
      <c r="G718" s="45"/>
      <c r="H718" s="45"/>
      <c r="W718" s="45"/>
    </row>
    <row r="719" ht="12.75" customHeight="1">
      <c r="G719" s="45"/>
      <c r="H719" s="45"/>
      <c r="W719" s="45"/>
    </row>
    <row r="720" ht="12.75" customHeight="1">
      <c r="G720" s="45"/>
      <c r="H720" s="45"/>
      <c r="W720" s="45"/>
    </row>
    <row r="721" ht="12.75" customHeight="1">
      <c r="G721" s="45"/>
      <c r="H721" s="45"/>
      <c r="W721" s="45"/>
    </row>
    <row r="722" ht="12.75" customHeight="1">
      <c r="G722" s="45"/>
      <c r="H722" s="45"/>
      <c r="W722" s="45"/>
    </row>
    <row r="723" ht="12.75" customHeight="1">
      <c r="G723" s="45"/>
      <c r="H723" s="45"/>
      <c r="W723" s="45"/>
    </row>
    <row r="724" ht="12.75" customHeight="1">
      <c r="G724" s="45"/>
      <c r="H724" s="45"/>
      <c r="W724" s="45"/>
    </row>
    <row r="725" ht="12.75" customHeight="1">
      <c r="G725" s="45"/>
      <c r="H725" s="45"/>
      <c r="W725" s="45"/>
    </row>
    <row r="726" ht="12.75" customHeight="1">
      <c r="G726" s="45"/>
      <c r="H726" s="45"/>
      <c r="W726" s="45"/>
    </row>
    <row r="727" ht="12.75" customHeight="1">
      <c r="G727" s="45"/>
      <c r="H727" s="45"/>
      <c r="W727" s="45"/>
    </row>
    <row r="728" ht="12.75" customHeight="1">
      <c r="G728" s="45"/>
      <c r="H728" s="45"/>
      <c r="W728" s="45"/>
    </row>
    <row r="729" ht="12.75" customHeight="1">
      <c r="G729" s="45"/>
      <c r="H729" s="45"/>
      <c r="W729" s="45"/>
    </row>
    <row r="730" ht="12.75" customHeight="1">
      <c r="G730" s="45"/>
      <c r="H730" s="45"/>
      <c r="W730" s="45"/>
    </row>
    <row r="731" ht="12.75" customHeight="1">
      <c r="G731" s="45"/>
      <c r="H731" s="45"/>
      <c r="W731" s="45"/>
    </row>
    <row r="732" ht="12.75" customHeight="1">
      <c r="G732" s="45"/>
      <c r="H732" s="45"/>
      <c r="W732" s="45"/>
    </row>
    <row r="733" ht="12.75" customHeight="1">
      <c r="G733" s="45"/>
      <c r="H733" s="45"/>
      <c r="W733" s="45"/>
    </row>
    <row r="734" ht="12.75" customHeight="1">
      <c r="G734" s="45"/>
      <c r="H734" s="45"/>
      <c r="W734" s="45"/>
    </row>
    <row r="735" ht="12.75" customHeight="1">
      <c r="G735" s="45"/>
      <c r="H735" s="45"/>
      <c r="W735" s="45"/>
    </row>
    <row r="736" ht="12.75" customHeight="1">
      <c r="G736" s="45"/>
      <c r="H736" s="45"/>
      <c r="W736" s="45"/>
    </row>
    <row r="737" ht="12.75" customHeight="1">
      <c r="G737" s="45"/>
      <c r="H737" s="45"/>
      <c r="W737" s="45"/>
    </row>
    <row r="738" ht="12.75" customHeight="1">
      <c r="G738" s="45"/>
      <c r="H738" s="45"/>
      <c r="W738" s="45"/>
    </row>
    <row r="739" ht="12.75" customHeight="1">
      <c r="G739" s="45"/>
      <c r="H739" s="45"/>
      <c r="W739" s="45"/>
    </row>
    <row r="740" ht="12.75" customHeight="1">
      <c r="G740" s="45"/>
      <c r="H740" s="45"/>
      <c r="W740" s="45"/>
    </row>
    <row r="741" ht="12.75" customHeight="1">
      <c r="G741" s="45"/>
      <c r="H741" s="45"/>
      <c r="W741" s="45"/>
    </row>
    <row r="742" ht="12.75" customHeight="1">
      <c r="G742" s="45"/>
      <c r="H742" s="45"/>
      <c r="W742" s="45"/>
    </row>
    <row r="743" ht="12.75" customHeight="1">
      <c r="G743" s="45"/>
      <c r="H743" s="45"/>
      <c r="W743" s="45"/>
    </row>
    <row r="744" ht="12.75" customHeight="1">
      <c r="G744" s="45"/>
      <c r="H744" s="45"/>
      <c r="W744" s="45"/>
    </row>
    <row r="745" ht="12.75" customHeight="1">
      <c r="G745" s="45"/>
      <c r="H745" s="45"/>
      <c r="W745" s="45"/>
    </row>
    <row r="746" ht="12.75" customHeight="1">
      <c r="G746" s="45"/>
      <c r="H746" s="45"/>
      <c r="W746" s="45"/>
    </row>
    <row r="747" ht="12.75" customHeight="1">
      <c r="G747" s="45"/>
      <c r="H747" s="45"/>
      <c r="W747" s="45"/>
    </row>
    <row r="748" ht="12.75" customHeight="1">
      <c r="G748" s="45"/>
      <c r="H748" s="45"/>
      <c r="W748" s="45"/>
    </row>
    <row r="749" ht="12.75" customHeight="1">
      <c r="G749" s="45"/>
      <c r="H749" s="45"/>
      <c r="W749" s="45"/>
    </row>
    <row r="750" ht="12.75" customHeight="1">
      <c r="G750" s="45"/>
      <c r="H750" s="45"/>
      <c r="W750" s="45"/>
    </row>
    <row r="751" ht="12.75" customHeight="1">
      <c r="G751" s="45"/>
      <c r="H751" s="45"/>
      <c r="W751" s="45"/>
    </row>
    <row r="752" ht="12.75" customHeight="1">
      <c r="G752" s="45"/>
      <c r="H752" s="45"/>
      <c r="W752" s="45"/>
    </row>
    <row r="753" ht="12.75" customHeight="1">
      <c r="G753" s="45"/>
      <c r="H753" s="45"/>
      <c r="W753" s="45"/>
    </row>
    <row r="754" ht="12.75" customHeight="1">
      <c r="G754" s="45"/>
      <c r="H754" s="45"/>
      <c r="W754" s="45"/>
    </row>
    <row r="755" ht="12.75" customHeight="1">
      <c r="G755" s="45"/>
      <c r="H755" s="45"/>
      <c r="W755" s="45"/>
    </row>
    <row r="756" ht="12.75" customHeight="1">
      <c r="G756" s="45"/>
      <c r="H756" s="45"/>
      <c r="W756" s="45"/>
    </row>
    <row r="757" ht="12.75" customHeight="1">
      <c r="G757" s="45"/>
      <c r="H757" s="45"/>
      <c r="W757" s="45"/>
    </row>
    <row r="758" ht="12.75" customHeight="1">
      <c r="G758" s="45"/>
      <c r="H758" s="45"/>
      <c r="W758" s="45"/>
    </row>
    <row r="759" ht="12.75" customHeight="1">
      <c r="G759" s="45"/>
      <c r="H759" s="45"/>
      <c r="W759" s="45"/>
    </row>
    <row r="760" ht="12.75" customHeight="1">
      <c r="G760" s="45"/>
      <c r="H760" s="45"/>
      <c r="W760" s="45"/>
    </row>
    <row r="761" ht="12.75" customHeight="1">
      <c r="G761" s="45"/>
      <c r="H761" s="45"/>
      <c r="W761" s="45"/>
    </row>
    <row r="762" ht="12.75" customHeight="1">
      <c r="G762" s="45"/>
      <c r="H762" s="45"/>
      <c r="W762" s="45"/>
    </row>
    <row r="763" ht="12.75" customHeight="1">
      <c r="G763" s="45"/>
      <c r="H763" s="45"/>
      <c r="W763" s="45"/>
    </row>
    <row r="764" ht="12.75" customHeight="1">
      <c r="G764" s="45"/>
      <c r="H764" s="45"/>
      <c r="W764" s="45"/>
    </row>
    <row r="765" ht="12.75" customHeight="1">
      <c r="G765" s="45"/>
      <c r="H765" s="45"/>
      <c r="W765" s="45"/>
    </row>
    <row r="766" ht="12.75" customHeight="1">
      <c r="G766" s="45"/>
      <c r="H766" s="45"/>
      <c r="W766" s="45"/>
    </row>
    <row r="767" ht="12.75" customHeight="1">
      <c r="G767" s="45"/>
      <c r="H767" s="45"/>
      <c r="W767" s="45"/>
    </row>
    <row r="768" ht="12.75" customHeight="1">
      <c r="G768" s="45"/>
      <c r="H768" s="45"/>
      <c r="W768" s="45"/>
    </row>
    <row r="769" ht="12.75" customHeight="1">
      <c r="G769" s="45"/>
      <c r="H769" s="45"/>
      <c r="W769" s="45"/>
    </row>
    <row r="770" ht="12.75" customHeight="1">
      <c r="G770" s="45"/>
      <c r="H770" s="45"/>
      <c r="W770" s="45"/>
    </row>
    <row r="771" ht="12.75" customHeight="1">
      <c r="G771" s="45"/>
      <c r="H771" s="45"/>
      <c r="W771" s="45"/>
    </row>
    <row r="772" ht="12.75" customHeight="1">
      <c r="G772" s="45"/>
      <c r="H772" s="45"/>
      <c r="W772" s="45"/>
    </row>
    <row r="773" ht="12.75" customHeight="1">
      <c r="G773" s="45"/>
      <c r="H773" s="45"/>
      <c r="W773" s="45"/>
    </row>
    <row r="774" ht="12.75" customHeight="1">
      <c r="G774" s="45"/>
      <c r="H774" s="45"/>
      <c r="W774" s="45"/>
    </row>
    <row r="775" ht="12.75" customHeight="1">
      <c r="G775" s="45"/>
      <c r="H775" s="45"/>
      <c r="W775" s="45"/>
    </row>
    <row r="776" ht="12.75" customHeight="1">
      <c r="G776" s="45"/>
      <c r="H776" s="45"/>
      <c r="W776" s="45"/>
    </row>
    <row r="777" ht="12.75" customHeight="1">
      <c r="G777" s="45"/>
      <c r="H777" s="45"/>
      <c r="W777" s="45"/>
    </row>
    <row r="778" ht="12.75" customHeight="1">
      <c r="G778" s="45"/>
      <c r="H778" s="45"/>
      <c r="W778" s="45"/>
    </row>
    <row r="779" ht="12.75" customHeight="1">
      <c r="G779" s="45"/>
      <c r="H779" s="45"/>
      <c r="W779" s="45"/>
    </row>
    <row r="780" ht="12.75" customHeight="1">
      <c r="G780" s="45"/>
      <c r="H780" s="45"/>
      <c r="W780" s="45"/>
    </row>
    <row r="781" ht="12.75" customHeight="1">
      <c r="G781" s="45"/>
      <c r="H781" s="45"/>
      <c r="W781" s="45"/>
    </row>
    <row r="782" ht="12.75" customHeight="1">
      <c r="G782" s="45"/>
      <c r="H782" s="45"/>
      <c r="W782" s="45"/>
    </row>
    <row r="783" ht="12.75" customHeight="1">
      <c r="G783" s="45"/>
      <c r="H783" s="45"/>
      <c r="W783" s="45"/>
    </row>
    <row r="784" ht="12.75" customHeight="1">
      <c r="G784" s="45"/>
      <c r="H784" s="45"/>
      <c r="W784" s="45"/>
    </row>
    <row r="785" ht="12.75" customHeight="1">
      <c r="G785" s="45"/>
      <c r="H785" s="45"/>
      <c r="W785" s="45"/>
    </row>
    <row r="786" ht="12.75" customHeight="1">
      <c r="G786" s="45"/>
      <c r="H786" s="45"/>
      <c r="W786" s="45"/>
    </row>
    <row r="787" ht="12.75" customHeight="1">
      <c r="G787" s="45"/>
      <c r="H787" s="45"/>
      <c r="W787" s="45"/>
    </row>
    <row r="788" ht="12.75" customHeight="1">
      <c r="G788" s="45"/>
      <c r="H788" s="45"/>
      <c r="W788" s="45"/>
    </row>
    <row r="789" ht="12.75" customHeight="1">
      <c r="G789" s="45"/>
      <c r="H789" s="45"/>
      <c r="W789" s="45"/>
    </row>
    <row r="790" ht="12.75" customHeight="1">
      <c r="G790" s="45"/>
      <c r="H790" s="45"/>
      <c r="W790" s="45"/>
    </row>
    <row r="791" ht="12.75" customHeight="1">
      <c r="G791" s="45"/>
      <c r="H791" s="45"/>
      <c r="W791" s="45"/>
    </row>
    <row r="792" ht="12.75" customHeight="1">
      <c r="G792" s="45"/>
      <c r="H792" s="45"/>
      <c r="W792" s="45"/>
    </row>
    <row r="793" ht="12.75" customHeight="1">
      <c r="G793" s="45"/>
      <c r="H793" s="45"/>
      <c r="W793" s="45"/>
    </row>
    <row r="794" ht="12.75" customHeight="1">
      <c r="G794" s="45"/>
      <c r="H794" s="45"/>
      <c r="W794" s="45"/>
    </row>
    <row r="795" ht="12.75" customHeight="1">
      <c r="G795" s="45"/>
      <c r="H795" s="45"/>
      <c r="W795" s="45"/>
    </row>
    <row r="796" ht="12.75" customHeight="1">
      <c r="G796" s="45"/>
      <c r="H796" s="45"/>
      <c r="W796" s="45"/>
    </row>
    <row r="797" ht="12.75" customHeight="1">
      <c r="G797" s="45"/>
      <c r="H797" s="45"/>
      <c r="W797" s="45"/>
    </row>
    <row r="798" ht="12.75" customHeight="1">
      <c r="G798" s="45"/>
      <c r="H798" s="45"/>
      <c r="W798" s="45"/>
    </row>
    <row r="799" ht="12.75" customHeight="1">
      <c r="G799" s="45"/>
      <c r="H799" s="45"/>
      <c r="W799" s="45"/>
    </row>
    <row r="800" ht="12.75" customHeight="1">
      <c r="G800" s="45"/>
      <c r="H800" s="45"/>
      <c r="W800" s="45"/>
    </row>
    <row r="801" ht="12.75" customHeight="1">
      <c r="G801" s="45"/>
      <c r="H801" s="45"/>
      <c r="W801" s="45"/>
    </row>
    <row r="802" ht="12.75" customHeight="1">
      <c r="G802" s="45"/>
      <c r="H802" s="45"/>
      <c r="W802" s="45"/>
    </row>
    <row r="803" ht="12.75" customHeight="1">
      <c r="G803" s="45"/>
      <c r="H803" s="45"/>
      <c r="W803" s="45"/>
    </row>
    <row r="804" ht="12.75" customHeight="1">
      <c r="G804" s="45"/>
      <c r="H804" s="45"/>
      <c r="W804" s="45"/>
    </row>
    <row r="805" ht="12.75" customHeight="1">
      <c r="G805" s="45"/>
      <c r="H805" s="45"/>
      <c r="W805" s="45"/>
    </row>
    <row r="806" ht="12.75" customHeight="1">
      <c r="G806" s="45"/>
      <c r="H806" s="45"/>
      <c r="W806" s="45"/>
    </row>
    <row r="807" ht="12.75" customHeight="1">
      <c r="G807" s="45"/>
      <c r="H807" s="45"/>
      <c r="W807" s="45"/>
    </row>
    <row r="808" ht="12.75" customHeight="1">
      <c r="G808" s="45"/>
      <c r="H808" s="45"/>
      <c r="W808" s="45"/>
    </row>
    <row r="809" ht="12.75" customHeight="1">
      <c r="G809" s="45"/>
      <c r="H809" s="45"/>
      <c r="W809" s="45"/>
    </row>
    <row r="810" ht="12.75" customHeight="1">
      <c r="G810" s="45"/>
      <c r="H810" s="45"/>
      <c r="W810" s="45"/>
    </row>
    <row r="811" ht="12.75" customHeight="1">
      <c r="G811" s="45"/>
      <c r="H811" s="45"/>
      <c r="W811" s="45"/>
    </row>
    <row r="812" ht="12.75" customHeight="1">
      <c r="G812" s="45"/>
      <c r="H812" s="45"/>
      <c r="W812" s="45"/>
    </row>
    <row r="813" ht="12.75" customHeight="1">
      <c r="G813" s="45"/>
      <c r="H813" s="45"/>
      <c r="W813" s="45"/>
    </row>
    <row r="814" ht="12.75" customHeight="1">
      <c r="G814" s="45"/>
      <c r="H814" s="45"/>
      <c r="W814" s="45"/>
    </row>
    <row r="815" ht="12.75" customHeight="1">
      <c r="G815" s="45"/>
      <c r="H815" s="45"/>
      <c r="W815" s="45"/>
    </row>
    <row r="816" ht="12.75" customHeight="1">
      <c r="G816" s="45"/>
      <c r="H816" s="45"/>
      <c r="W816" s="45"/>
    </row>
    <row r="817" ht="12.75" customHeight="1">
      <c r="G817" s="45"/>
      <c r="H817" s="45"/>
      <c r="W817" s="45"/>
    </row>
    <row r="818" ht="12.75" customHeight="1">
      <c r="G818" s="45"/>
      <c r="H818" s="45"/>
      <c r="W818" s="45"/>
    </row>
    <row r="819" ht="12.75" customHeight="1">
      <c r="G819" s="45"/>
      <c r="H819" s="45"/>
      <c r="W819" s="45"/>
    </row>
    <row r="820" ht="12.75" customHeight="1">
      <c r="G820" s="45"/>
      <c r="H820" s="45"/>
      <c r="W820" s="45"/>
    </row>
    <row r="821" ht="12.75" customHeight="1">
      <c r="G821" s="45"/>
      <c r="H821" s="45"/>
      <c r="W821" s="45"/>
    </row>
    <row r="822" ht="12.75" customHeight="1">
      <c r="G822" s="45"/>
      <c r="H822" s="45"/>
      <c r="W822" s="45"/>
    </row>
    <row r="823" ht="12.75" customHeight="1">
      <c r="G823" s="45"/>
      <c r="H823" s="45"/>
      <c r="W823" s="45"/>
    </row>
    <row r="824" ht="12.75" customHeight="1">
      <c r="G824" s="45"/>
      <c r="H824" s="45"/>
      <c r="W824" s="45"/>
    </row>
    <row r="825" ht="12.75" customHeight="1">
      <c r="G825" s="45"/>
      <c r="H825" s="45"/>
      <c r="W825" s="45"/>
    </row>
    <row r="826" ht="12.75" customHeight="1">
      <c r="G826" s="45"/>
      <c r="H826" s="45"/>
      <c r="W826" s="45"/>
    </row>
    <row r="827" ht="12.75" customHeight="1">
      <c r="G827" s="45"/>
      <c r="H827" s="45"/>
      <c r="W827" s="45"/>
    </row>
    <row r="828" ht="12.75" customHeight="1">
      <c r="G828" s="45"/>
      <c r="H828" s="45"/>
      <c r="W828" s="45"/>
    </row>
    <row r="829" ht="12.75" customHeight="1">
      <c r="G829" s="45"/>
      <c r="H829" s="45"/>
      <c r="W829" s="45"/>
    </row>
    <row r="830" ht="12.75" customHeight="1">
      <c r="G830" s="45"/>
      <c r="H830" s="45"/>
      <c r="W830" s="45"/>
    </row>
    <row r="831" ht="12.75" customHeight="1">
      <c r="G831" s="45"/>
      <c r="H831" s="45"/>
      <c r="W831" s="45"/>
    </row>
    <row r="832" ht="12.75" customHeight="1">
      <c r="G832" s="45"/>
      <c r="H832" s="45"/>
      <c r="W832" s="45"/>
    </row>
    <row r="833" ht="12.75" customHeight="1">
      <c r="G833" s="45"/>
      <c r="H833" s="45"/>
      <c r="W833" s="45"/>
    </row>
    <row r="834" ht="12.75" customHeight="1">
      <c r="G834" s="45"/>
      <c r="H834" s="45"/>
      <c r="W834" s="45"/>
    </row>
    <row r="835" ht="12.75" customHeight="1">
      <c r="G835" s="45"/>
      <c r="H835" s="45"/>
      <c r="W835" s="45"/>
    </row>
    <row r="836" ht="12.75" customHeight="1">
      <c r="G836" s="45"/>
      <c r="H836" s="45"/>
      <c r="W836" s="45"/>
    </row>
    <row r="837" ht="12.75" customHeight="1">
      <c r="G837" s="45"/>
      <c r="H837" s="45"/>
      <c r="W837" s="45"/>
    </row>
    <row r="838" ht="12.75" customHeight="1">
      <c r="G838" s="45"/>
      <c r="H838" s="45"/>
      <c r="W838" s="45"/>
    </row>
    <row r="839" ht="12.75" customHeight="1">
      <c r="G839" s="45"/>
      <c r="H839" s="45"/>
      <c r="W839" s="45"/>
    </row>
    <row r="840" ht="12.75" customHeight="1">
      <c r="G840" s="45"/>
      <c r="H840" s="45"/>
      <c r="W840" s="45"/>
    </row>
    <row r="841" ht="12.75" customHeight="1">
      <c r="G841" s="45"/>
      <c r="H841" s="45"/>
      <c r="W841" s="45"/>
    </row>
    <row r="842" ht="12.75" customHeight="1">
      <c r="G842" s="45"/>
      <c r="H842" s="45"/>
      <c r="W842" s="45"/>
    </row>
    <row r="843" ht="12.75" customHeight="1">
      <c r="G843" s="45"/>
      <c r="H843" s="45"/>
      <c r="W843" s="45"/>
    </row>
    <row r="844" ht="12.75" customHeight="1">
      <c r="G844" s="45"/>
      <c r="H844" s="45"/>
      <c r="W844" s="45"/>
    </row>
    <row r="845" ht="12.75" customHeight="1">
      <c r="G845" s="45"/>
      <c r="H845" s="45"/>
      <c r="W845" s="45"/>
    </row>
    <row r="846" ht="12.75" customHeight="1">
      <c r="G846" s="45"/>
      <c r="H846" s="45"/>
      <c r="W846" s="45"/>
    </row>
    <row r="847" ht="12.75" customHeight="1">
      <c r="G847" s="45"/>
      <c r="H847" s="45"/>
      <c r="W847" s="45"/>
    </row>
    <row r="848" ht="12.75" customHeight="1">
      <c r="G848" s="45"/>
      <c r="H848" s="45"/>
      <c r="W848" s="45"/>
    </row>
    <row r="849" ht="12.75" customHeight="1">
      <c r="G849" s="45"/>
      <c r="H849" s="45"/>
      <c r="W849" s="45"/>
    </row>
    <row r="850" ht="12.75" customHeight="1">
      <c r="G850" s="45"/>
      <c r="H850" s="45"/>
      <c r="W850" s="45"/>
    </row>
    <row r="851" ht="12.75" customHeight="1">
      <c r="G851" s="45"/>
      <c r="H851" s="45"/>
      <c r="W851" s="45"/>
    </row>
    <row r="852" ht="12.75" customHeight="1">
      <c r="G852" s="45"/>
      <c r="H852" s="45"/>
      <c r="W852" s="45"/>
    </row>
    <row r="853" ht="12.75" customHeight="1">
      <c r="G853" s="45"/>
      <c r="H853" s="45"/>
      <c r="W853" s="45"/>
    </row>
    <row r="854" ht="12.75" customHeight="1">
      <c r="G854" s="45"/>
      <c r="H854" s="45"/>
      <c r="W854" s="45"/>
    </row>
    <row r="855" ht="12.75" customHeight="1">
      <c r="G855" s="45"/>
      <c r="H855" s="45"/>
      <c r="W855" s="45"/>
    </row>
    <row r="856" ht="12.75" customHeight="1">
      <c r="G856" s="45"/>
      <c r="H856" s="45"/>
      <c r="W856" s="45"/>
    </row>
    <row r="857" ht="12.75" customHeight="1">
      <c r="G857" s="45"/>
      <c r="H857" s="45"/>
      <c r="W857" s="45"/>
    </row>
    <row r="858" ht="12.75" customHeight="1">
      <c r="G858" s="45"/>
      <c r="H858" s="45"/>
      <c r="W858" s="45"/>
    </row>
    <row r="859" ht="12.75" customHeight="1">
      <c r="G859" s="45"/>
      <c r="H859" s="45"/>
      <c r="W859" s="45"/>
    </row>
    <row r="860" ht="12.75" customHeight="1">
      <c r="G860" s="45"/>
      <c r="H860" s="45"/>
      <c r="W860" s="45"/>
    </row>
    <row r="861" ht="12.75" customHeight="1">
      <c r="G861" s="45"/>
      <c r="H861" s="45"/>
      <c r="W861" s="45"/>
    </row>
    <row r="862" ht="12.75" customHeight="1">
      <c r="G862" s="45"/>
      <c r="H862" s="45"/>
      <c r="W862" s="45"/>
    </row>
    <row r="863" ht="12.75" customHeight="1">
      <c r="G863" s="45"/>
      <c r="H863" s="45"/>
      <c r="W863" s="45"/>
    </row>
    <row r="864" ht="12.75" customHeight="1">
      <c r="G864" s="45"/>
      <c r="H864" s="45"/>
      <c r="W864" s="45"/>
    </row>
    <row r="865" ht="12.75" customHeight="1">
      <c r="G865" s="45"/>
      <c r="H865" s="45"/>
      <c r="W865" s="45"/>
    </row>
    <row r="866" ht="12.75" customHeight="1">
      <c r="G866" s="45"/>
      <c r="H866" s="45"/>
      <c r="W866" s="45"/>
    </row>
    <row r="867" ht="12.75" customHeight="1">
      <c r="G867" s="45"/>
      <c r="H867" s="45"/>
      <c r="W867" s="45"/>
    </row>
    <row r="868" ht="12.75" customHeight="1">
      <c r="G868" s="45"/>
      <c r="H868" s="45"/>
      <c r="W868" s="45"/>
    </row>
    <row r="869" ht="12.75" customHeight="1">
      <c r="G869" s="45"/>
      <c r="H869" s="45"/>
      <c r="W869" s="45"/>
    </row>
    <row r="870" ht="12.75" customHeight="1">
      <c r="G870" s="45"/>
      <c r="H870" s="45"/>
      <c r="W870" s="45"/>
    </row>
    <row r="871" ht="12.75" customHeight="1">
      <c r="G871" s="45"/>
      <c r="H871" s="45"/>
      <c r="W871" s="45"/>
    </row>
    <row r="872" ht="12.75" customHeight="1">
      <c r="G872" s="45"/>
      <c r="H872" s="45"/>
      <c r="W872" s="45"/>
    </row>
    <row r="873" ht="12.75" customHeight="1">
      <c r="G873" s="45"/>
      <c r="H873" s="45"/>
      <c r="W873" s="45"/>
    </row>
    <row r="874" ht="12.75" customHeight="1">
      <c r="G874" s="45"/>
      <c r="H874" s="45"/>
      <c r="W874" s="45"/>
    </row>
    <row r="875" ht="12.75" customHeight="1">
      <c r="G875" s="45"/>
      <c r="H875" s="45"/>
      <c r="W875" s="45"/>
    </row>
    <row r="876" ht="12.75" customHeight="1">
      <c r="G876" s="45"/>
      <c r="H876" s="45"/>
      <c r="W876" s="45"/>
    </row>
    <row r="877" ht="12.75" customHeight="1">
      <c r="G877" s="45"/>
      <c r="H877" s="45"/>
      <c r="W877" s="45"/>
    </row>
    <row r="878" ht="12.75" customHeight="1">
      <c r="G878" s="45"/>
      <c r="H878" s="45"/>
      <c r="W878" s="45"/>
    </row>
    <row r="879" ht="12.75" customHeight="1">
      <c r="G879" s="45"/>
      <c r="H879" s="45"/>
      <c r="W879" s="45"/>
    </row>
    <row r="880" ht="12.75" customHeight="1">
      <c r="G880" s="45"/>
      <c r="H880" s="45"/>
      <c r="W880" s="45"/>
    </row>
    <row r="881" ht="12.75" customHeight="1">
      <c r="G881" s="45"/>
      <c r="H881" s="45"/>
      <c r="W881" s="45"/>
    </row>
    <row r="882" ht="12.75" customHeight="1">
      <c r="G882" s="45"/>
      <c r="H882" s="45"/>
      <c r="W882" s="45"/>
    </row>
    <row r="883" ht="12.75" customHeight="1">
      <c r="G883" s="45"/>
      <c r="H883" s="45"/>
      <c r="W883" s="45"/>
    </row>
    <row r="884" ht="12.75" customHeight="1">
      <c r="G884" s="45"/>
      <c r="H884" s="45"/>
      <c r="W884" s="45"/>
    </row>
    <row r="885" ht="12.75" customHeight="1">
      <c r="G885" s="45"/>
      <c r="H885" s="45"/>
      <c r="W885" s="45"/>
    </row>
    <row r="886" ht="12.75" customHeight="1">
      <c r="G886" s="45"/>
      <c r="H886" s="45"/>
      <c r="W886" s="45"/>
    </row>
    <row r="887" ht="12.75" customHeight="1">
      <c r="G887" s="45"/>
      <c r="H887" s="45"/>
      <c r="W887" s="45"/>
    </row>
    <row r="888" ht="12.75" customHeight="1">
      <c r="G888" s="45"/>
      <c r="H888" s="45"/>
      <c r="W888" s="45"/>
    </row>
    <row r="889" ht="12.75" customHeight="1">
      <c r="G889" s="45"/>
      <c r="H889" s="45"/>
      <c r="W889" s="45"/>
    </row>
    <row r="890" ht="12.75" customHeight="1">
      <c r="G890" s="45"/>
      <c r="H890" s="45"/>
      <c r="W890" s="45"/>
    </row>
    <row r="891" ht="12.75" customHeight="1">
      <c r="G891" s="45"/>
      <c r="H891" s="45"/>
      <c r="W891" s="45"/>
    </row>
    <row r="892" ht="12.75" customHeight="1">
      <c r="G892" s="45"/>
      <c r="H892" s="45"/>
      <c r="W892" s="45"/>
    </row>
    <row r="893" ht="12.75" customHeight="1">
      <c r="G893" s="45"/>
      <c r="H893" s="45"/>
      <c r="W893" s="45"/>
    </row>
    <row r="894" ht="12.75" customHeight="1">
      <c r="G894" s="45"/>
      <c r="H894" s="45"/>
      <c r="W894" s="45"/>
    </row>
    <row r="895" ht="12.75" customHeight="1">
      <c r="G895" s="45"/>
      <c r="H895" s="45"/>
      <c r="W895" s="45"/>
    </row>
    <row r="896" ht="12.75" customHeight="1">
      <c r="G896" s="45"/>
      <c r="H896" s="45"/>
      <c r="W896" s="45"/>
    </row>
    <row r="897" ht="12.75" customHeight="1">
      <c r="G897" s="45"/>
      <c r="H897" s="45"/>
      <c r="W897" s="45"/>
    </row>
    <row r="898" ht="12.75" customHeight="1">
      <c r="G898" s="45"/>
      <c r="H898" s="45"/>
      <c r="W898" s="45"/>
    </row>
    <row r="899" ht="12.75" customHeight="1">
      <c r="G899" s="45"/>
      <c r="H899" s="45"/>
      <c r="W899" s="45"/>
    </row>
    <row r="900" ht="12.75" customHeight="1">
      <c r="G900" s="45"/>
      <c r="H900" s="45"/>
      <c r="W900" s="45"/>
    </row>
    <row r="901" ht="12.75" customHeight="1">
      <c r="G901" s="45"/>
      <c r="H901" s="45"/>
      <c r="W901" s="45"/>
    </row>
    <row r="902" ht="12.75" customHeight="1">
      <c r="G902" s="45"/>
      <c r="H902" s="45"/>
      <c r="W902" s="45"/>
    </row>
    <row r="903" ht="12.75" customHeight="1">
      <c r="G903" s="45"/>
      <c r="H903" s="45"/>
      <c r="W903" s="45"/>
    </row>
    <row r="904" ht="12.75" customHeight="1">
      <c r="G904" s="45"/>
      <c r="H904" s="45"/>
      <c r="W904" s="45"/>
    </row>
    <row r="905" ht="12.75" customHeight="1">
      <c r="G905" s="45"/>
      <c r="H905" s="45"/>
      <c r="W905" s="45"/>
    </row>
    <row r="906" ht="12.75" customHeight="1">
      <c r="G906" s="45"/>
      <c r="H906" s="45"/>
      <c r="W906" s="45"/>
    </row>
    <row r="907" ht="12.75" customHeight="1">
      <c r="G907" s="45"/>
      <c r="H907" s="45"/>
      <c r="W907" s="45"/>
    </row>
    <row r="908" ht="12.75" customHeight="1">
      <c r="G908" s="45"/>
      <c r="H908" s="45"/>
      <c r="W908" s="45"/>
    </row>
    <row r="909" ht="12.75" customHeight="1">
      <c r="G909" s="45"/>
      <c r="H909" s="45"/>
      <c r="W909" s="45"/>
    </row>
    <row r="910" ht="12.75" customHeight="1">
      <c r="G910" s="45"/>
      <c r="H910" s="45"/>
      <c r="W910" s="45"/>
    </row>
    <row r="911" ht="12.75" customHeight="1">
      <c r="G911" s="45"/>
      <c r="H911" s="45"/>
      <c r="W911" s="45"/>
    </row>
    <row r="912" ht="12.75" customHeight="1">
      <c r="G912" s="45"/>
      <c r="H912" s="45"/>
      <c r="W912" s="45"/>
    </row>
    <row r="913" ht="12.75" customHeight="1">
      <c r="G913" s="45"/>
      <c r="H913" s="45"/>
      <c r="W913" s="45"/>
    </row>
    <row r="914" ht="12.75" customHeight="1">
      <c r="G914" s="45"/>
      <c r="H914" s="45"/>
      <c r="W914" s="45"/>
    </row>
    <row r="915" ht="12.75" customHeight="1">
      <c r="G915" s="45"/>
      <c r="H915" s="45"/>
      <c r="W915" s="45"/>
    </row>
    <row r="916" ht="12.75" customHeight="1">
      <c r="G916" s="45"/>
      <c r="H916" s="45"/>
      <c r="W916" s="45"/>
    </row>
    <row r="917" ht="12.75" customHeight="1">
      <c r="G917" s="45"/>
      <c r="H917" s="45"/>
      <c r="W917" s="45"/>
    </row>
    <row r="918" ht="12.75" customHeight="1">
      <c r="G918" s="45"/>
      <c r="H918" s="45"/>
      <c r="W918" s="45"/>
    </row>
    <row r="919" ht="12.75" customHeight="1">
      <c r="G919" s="45"/>
      <c r="H919" s="45"/>
      <c r="W919" s="45"/>
    </row>
    <row r="920" ht="12.75" customHeight="1">
      <c r="G920" s="45"/>
      <c r="H920" s="45"/>
      <c r="W920" s="45"/>
    </row>
    <row r="921" ht="12.75" customHeight="1">
      <c r="G921" s="45"/>
      <c r="H921" s="45"/>
      <c r="W921" s="45"/>
    </row>
    <row r="922" ht="12.75" customHeight="1">
      <c r="G922" s="45"/>
      <c r="H922" s="45"/>
      <c r="W922" s="45"/>
    </row>
    <row r="923" ht="12.75" customHeight="1">
      <c r="G923" s="45"/>
      <c r="H923" s="45"/>
      <c r="W923" s="45"/>
    </row>
    <row r="924" ht="12.75" customHeight="1">
      <c r="G924" s="45"/>
      <c r="H924" s="45"/>
      <c r="W924" s="45"/>
    </row>
    <row r="925" ht="12.75" customHeight="1">
      <c r="G925" s="45"/>
      <c r="H925" s="45"/>
      <c r="W925" s="45"/>
    </row>
    <row r="926" ht="12.75" customHeight="1">
      <c r="G926" s="45"/>
      <c r="H926" s="45"/>
      <c r="W926" s="45"/>
    </row>
    <row r="927" ht="12.75" customHeight="1">
      <c r="G927" s="45"/>
      <c r="H927" s="45"/>
      <c r="W927" s="45"/>
    </row>
    <row r="928" ht="12.75" customHeight="1">
      <c r="G928" s="45"/>
      <c r="H928" s="45"/>
      <c r="W928" s="45"/>
    </row>
    <row r="929" ht="12.75" customHeight="1">
      <c r="G929" s="45"/>
      <c r="H929" s="45"/>
      <c r="W929" s="45"/>
    </row>
    <row r="930" ht="12.75" customHeight="1">
      <c r="G930" s="45"/>
      <c r="H930" s="45"/>
      <c r="W930" s="45"/>
    </row>
    <row r="931" ht="12.75" customHeight="1">
      <c r="G931" s="45"/>
      <c r="H931" s="45"/>
      <c r="W931" s="45"/>
    </row>
    <row r="932" ht="12.75" customHeight="1">
      <c r="G932" s="45"/>
      <c r="H932" s="45"/>
      <c r="W932" s="45"/>
    </row>
    <row r="933" ht="12.75" customHeight="1">
      <c r="G933" s="45"/>
      <c r="H933" s="45"/>
      <c r="W933" s="45"/>
    </row>
    <row r="934" ht="12.75" customHeight="1">
      <c r="G934" s="45"/>
      <c r="H934" s="45"/>
      <c r="W934" s="45"/>
    </row>
    <row r="935" ht="12.75" customHeight="1">
      <c r="G935" s="45"/>
      <c r="H935" s="45"/>
      <c r="W935" s="45"/>
    </row>
    <row r="936" ht="12.75" customHeight="1">
      <c r="G936" s="45"/>
      <c r="H936" s="45"/>
      <c r="W936" s="45"/>
    </row>
    <row r="937" ht="12.75" customHeight="1">
      <c r="G937" s="45"/>
      <c r="H937" s="45"/>
      <c r="W937" s="45"/>
    </row>
    <row r="938" ht="12.75" customHeight="1">
      <c r="G938" s="45"/>
      <c r="H938" s="45"/>
      <c r="W938" s="45"/>
    </row>
    <row r="939" ht="12.75" customHeight="1">
      <c r="G939" s="45"/>
      <c r="H939" s="45"/>
      <c r="W939" s="45"/>
    </row>
    <row r="940" ht="12.75" customHeight="1">
      <c r="G940" s="45"/>
      <c r="H940" s="45"/>
      <c r="W940" s="45"/>
    </row>
    <row r="941" ht="12.75" customHeight="1">
      <c r="G941" s="45"/>
      <c r="H941" s="45"/>
      <c r="W941" s="45"/>
    </row>
    <row r="942" ht="12.75" customHeight="1">
      <c r="G942" s="45"/>
      <c r="H942" s="45"/>
      <c r="W942" s="45"/>
    </row>
    <row r="943" ht="12.75" customHeight="1">
      <c r="G943" s="45"/>
      <c r="H943" s="45"/>
      <c r="W943" s="45"/>
    </row>
    <row r="944" ht="12.75" customHeight="1">
      <c r="G944" s="45"/>
      <c r="H944" s="45"/>
      <c r="W944" s="45"/>
    </row>
    <row r="945" ht="12.75" customHeight="1">
      <c r="G945" s="45"/>
      <c r="H945" s="45"/>
      <c r="W945" s="45"/>
    </row>
    <row r="946" ht="12.75" customHeight="1">
      <c r="G946" s="45"/>
      <c r="H946" s="45"/>
      <c r="W946" s="45"/>
    </row>
    <row r="947" ht="12.75" customHeight="1">
      <c r="G947" s="45"/>
      <c r="H947" s="45"/>
      <c r="W947" s="45"/>
    </row>
    <row r="948" ht="12.75" customHeight="1">
      <c r="G948" s="45"/>
      <c r="H948" s="45"/>
      <c r="W948" s="45"/>
    </row>
    <row r="949" ht="12.75" customHeight="1">
      <c r="G949" s="45"/>
      <c r="H949" s="45"/>
      <c r="W949" s="45"/>
    </row>
    <row r="950" ht="12.75" customHeight="1">
      <c r="G950" s="45"/>
      <c r="H950" s="45"/>
      <c r="W950" s="45"/>
    </row>
    <row r="951" ht="12.75" customHeight="1">
      <c r="G951" s="45"/>
      <c r="H951" s="45"/>
      <c r="W951" s="45"/>
    </row>
    <row r="952" ht="12.75" customHeight="1">
      <c r="G952" s="45"/>
      <c r="H952" s="45"/>
      <c r="W952" s="45"/>
    </row>
    <row r="953" ht="12.75" customHeight="1">
      <c r="G953" s="45"/>
      <c r="H953" s="45"/>
      <c r="W953" s="45"/>
    </row>
    <row r="954" ht="12.75" customHeight="1">
      <c r="G954" s="45"/>
      <c r="H954" s="45"/>
      <c r="W954" s="45"/>
    </row>
    <row r="955" ht="12.75" customHeight="1">
      <c r="G955" s="45"/>
      <c r="H955" s="45"/>
      <c r="W955" s="45"/>
    </row>
    <row r="956" ht="12.75" customHeight="1">
      <c r="G956" s="45"/>
      <c r="H956" s="45"/>
      <c r="W956" s="45"/>
    </row>
    <row r="957" ht="12.75" customHeight="1">
      <c r="G957" s="45"/>
      <c r="H957" s="45"/>
      <c r="W957" s="45"/>
    </row>
    <row r="958" ht="12.75" customHeight="1">
      <c r="G958" s="45"/>
      <c r="H958" s="45"/>
      <c r="W958" s="45"/>
    </row>
    <row r="959" ht="12.75" customHeight="1">
      <c r="G959" s="45"/>
      <c r="H959" s="45"/>
      <c r="W959" s="45"/>
    </row>
    <row r="960" ht="12.75" customHeight="1">
      <c r="G960" s="45"/>
      <c r="H960" s="45"/>
      <c r="W960" s="45"/>
    </row>
    <row r="961" ht="12.75" customHeight="1">
      <c r="G961" s="45"/>
      <c r="H961" s="45"/>
      <c r="W961" s="45"/>
    </row>
    <row r="962" ht="12.75" customHeight="1">
      <c r="G962" s="45"/>
      <c r="H962" s="45"/>
      <c r="W962" s="45"/>
    </row>
    <row r="963" ht="12.75" customHeight="1">
      <c r="G963" s="45"/>
      <c r="H963" s="45"/>
      <c r="W963" s="45"/>
    </row>
    <row r="964" ht="12.75" customHeight="1">
      <c r="G964" s="45"/>
      <c r="H964" s="45"/>
      <c r="W964" s="45"/>
    </row>
    <row r="965" ht="12.75" customHeight="1">
      <c r="G965" s="45"/>
      <c r="H965" s="45"/>
      <c r="W965" s="45"/>
    </row>
    <row r="966" ht="12.75" customHeight="1">
      <c r="G966" s="45"/>
      <c r="H966" s="45"/>
      <c r="W966" s="45"/>
    </row>
    <row r="967" ht="12.75" customHeight="1">
      <c r="G967" s="45"/>
      <c r="H967" s="45"/>
      <c r="W967" s="45"/>
    </row>
    <row r="968" ht="12.75" customHeight="1">
      <c r="G968" s="45"/>
      <c r="H968" s="45"/>
      <c r="W968" s="45"/>
    </row>
    <row r="969" ht="12.75" customHeight="1">
      <c r="G969" s="45"/>
      <c r="H969" s="45"/>
      <c r="W969" s="45"/>
    </row>
    <row r="970" ht="12.75" customHeight="1">
      <c r="G970" s="45"/>
      <c r="H970" s="45"/>
      <c r="W970" s="45"/>
    </row>
    <row r="971" ht="12.75" customHeight="1">
      <c r="G971" s="45"/>
      <c r="H971" s="45"/>
      <c r="W971" s="45"/>
    </row>
    <row r="972" ht="12.75" customHeight="1">
      <c r="G972" s="45"/>
      <c r="H972" s="45"/>
      <c r="W972" s="45"/>
    </row>
    <row r="973" ht="12.75" customHeight="1">
      <c r="G973" s="45"/>
      <c r="H973" s="45"/>
      <c r="W973" s="45"/>
    </row>
    <row r="974" ht="12.75" customHeight="1">
      <c r="G974" s="45"/>
      <c r="H974" s="45"/>
      <c r="W974" s="45"/>
    </row>
    <row r="975" ht="12.75" customHeight="1">
      <c r="G975" s="45"/>
      <c r="H975" s="45"/>
      <c r="W975" s="45"/>
    </row>
    <row r="976" ht="12.75" customHeight="1">
      <c r="G976" s="45"/>
      <c r="H976" s="45"/>
      <c r="W976" s="45"/>
    </row>
    <row r="977" ht="12.75" customHeight="1">
      <c r="G977" s="45"/>
      <c r="H977" s="45"/>
      <c r="W977" s="45"/>
    </row>
    <row r="978" ht="12.75" customHeight="1">
      <c r="G978" s="45"/>
      <c r="H978" s="45"/>
      <c r="W978" s="45"/>
    </row>
    <row r="979" ht="12.75" customHeight="1">
      <c r="G979" s="45"/>
      <c r="H979" s="45"/>
      <c r="W979" s="45"/>
    </row>
    <row r="980" ht="12.75" customHeight="1">
      <c r="G980" s="45"/>
      <c r="H980" s="45"/>
      <c r="W980" s="45"/>
    </row>
    <row r="981" ht="12.75" customHeight="1">
      <c r="G981" s="45"/>
      <c r="H981" s="45"/>
      <c r="W981" s="45"/>
    </row>
    <row r="982" ht="12.75" customHeight="1">
      <c r="G982" s="45"/>
      <c r="H982" s="45"/>
      <c r="W982" s="45"/>
    </row>
    <row r="983" ht="12.75" customHeight="1">
      <c r="G983" s="45"/>
      <c r="H983" s="45"/>
      <c r="W983" s="45"/>
    </row>
    <row r="984" ht="12.75" customHeight="1">
      <c r="G984" s="45"/>
      <c r="H984" s="45"/>
      <c r="W984" s="45"/>
    </row>
    <row r="985" ht="12.75" customHeight="1">
      <c r="G985" s="45"/>
      <c r="H985" s="45"/>
      <c r="W985" s="45"/>
    </row>
    <row r="986" ht="12.75" customHeight="1">
      <c r="G986" s="45"/>
      <c r="H986" s="45"/>
      <c r="W986" s="45"/>
    </row>
    <row r="987" ht="12.75" customHeight="1">
      <c r="G987" s="45"/>
      <c r="H987" s="45"/>
      <c r="W987" s="45"/>
    </row>
    <row r="988" ht="12.75" customHeight="1">
      <c r="G988" s="45"/>
      <c r="H988" s="45"/>
      <c r="W988" s="45"/>
    </row>
    <row r="989" ht="12.75" customHeight="1">
      <c r="G989" s="45"/>
      <c r="H989" s="45"/>
      <c r="W989" s="45"/>
    </row>
    <row r="990" ht="12.75" customHeight="1">
      <c r="G990" s="45"/>
      <c r="H990" s="45"/>
      <c r="W990" s="45"/>
    </row>
    <row r="991" ht="12.75" customHeight="1">
      <c r="G991" s="45"/>
      <c r="H991" s="45"/>
      <c r="W991" s="45"/>
    </row>
    <row r="992" ht="12.75" customHeight="1">
      <c r="G992" s="45"/>
      <c r="H992" s="45"/>
      <c r="W992" s="45"/>
    </row>
    <row r="993" ht="12.75" customHeight="1">
      <c r="G993" s="45"/>
      <c r="H993" s="45"/>
      <c r="W993" s="45"/>
    </row>
    <row r="994" ht="12.75" customHeight="1">
      <c r="G994" s="45"/>
      <c r="H994" s="45"/>
      <c r="W994" s="45"/>
    </row>
    <row r="995" ht="12.75" customHeight="1">
      <c r="G995" s="45"/>
      <c r="H995" s="45"/>
      <c r="W995" s="45"/>
    </row>
    <row r="996" ht="12.75" customHeight="1">
      <c r="G996" s="45"/>
      <c r="H996" s="45"/>
      <c r="W996" s="45"/>
    </row>
    <row r="997" ht="12.75" customHeight="1">
      <c r="G997" s="45"/>
      <c r="H997" s="45"/>
      <c r="W997" s="45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