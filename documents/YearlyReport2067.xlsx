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<sst xmlns="http://schemas.openxmlformats.org/spreadsheetml/2006/main" count="451" uniqueCount="141">
  <si>
    <t>Commodity</t>
  </si>
  <si>
    <t>Unit</t>
  </si>
  <si>
    <t>1 - 2067</t>
  </si>
  <si>
    <t>02 - 2067</t>
  </si>
  <si>
    <t>3 - 2067</t>
  </si>
  <si>
    <t>04 - 2067</t>
  </si>
  <si>
    <t>5 - 2067</t>
  </si>
  <si>
    <t>6 - 2067</t>
  </si>
  <si>
    <t>7 - 2067</t>
  </si>
  <si>
    <t>8 - 2067</t>
  </si>
  <si>
    <t>9 - 2067</t>
  </si>
  <si>
    <t>10 - 2067</t>
  </si>
  <si>
    <t>11 - 2067</t>
  </si>
  <si>
    <t>12 - 2067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</si>
  <si>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</si>
  <si>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</si>
  <si>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</si>
  <si>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</si>
  <si>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</si>
  <si>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</si>
  <si>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</si>
  <si>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</si>
  <si>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</si>
  <si>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</si>
  <si>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</si>
  <si>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</si>
  <si>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</si>
  <si>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</si>
  <si>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</si>
  <si>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</si>
  <si>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</si>
  <si>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</si>
  <si>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</si>
  <si>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</si>
  <si>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</si>
  <si>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</si>
  <si>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</si>
  <si>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</si>
  <si>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</si>
  <si>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</si>
  <si>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</si>
  <si>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</si>
  <si>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</si>
  <si>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</si>
  <si>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</si>
  <si>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</si>
  <si>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</si>
  <si>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</si>
  <si>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</si>
  <si>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</si>
  <si>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</si>
  <si>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</si>
  <si>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</si>
  <si>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</si>
  <si>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</si>
  <si>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</si>
  <si>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</si>
  <si>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</si>
  <si>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</si>
  <si>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</si>
  <si>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</si>
  <si>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</si>
  <si>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</si>
  <si>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</si>
  <si>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</si>
  <si>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</si>
  <si>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</si>
  <si>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</si>
  <si>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</si>
  <si>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</si>
  <si>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</si>
  <si>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</si>
  <si>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</si>
  <si>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</si>
  <si>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</si>
  <si>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</si>
  <si>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Dozen</t>
  </si>
  <si>
    <t>Lime</t>
  </si>
  <si>
    <t>100 j^f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</si>
  <si>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</si>
  <si>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</si>
  <si>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</si>
  <si>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</si>
  <si>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</si>
  <si>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</si>
  <si>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</si>
  <si>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</si>
  <si>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</si>
  <si>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</si>
  <si>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</si>
  <si>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</si>
  <si>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</si>
  <si>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</si>
  <si>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</si>
  <si>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</si>
  <si>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Sugarcane</t>
  </si>
  <si>
    <t>Kinnow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</si>
  <si>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</si>
  <si>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</si>
  <si>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</si>
  <si>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</si>
  <si>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</si>
  <si>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</si>
  <si>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</si>
  <si>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</si>
  <si>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</si>
  <si>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</si>
  <si>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</si>
  <si>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Tamarine</t>
  </si>
  <si>
    <t>Bamboo Shoot</t>
  </si>
  <si>
    <t>Tofu</t>
  </si>
  <si>
    <t>Gundruk</t>
  </si>
  <si>
    <t>Name/Month</t>
  </si>
  <si>
    <t>Total</t>
  </si>
  <si>
    <t>Percentage</t>
  </si>
  <si>
    <t>Litchi</t>
  </si>
  <si>
    <t>Musk Melon</t>
  </si>
  <si>
    <t>Strawberry</t>
  </si>
  <si>
    <t>Other</t>
  </si>
  <si>
    <t>Comodity</t>
  </si>
  <si>
    <t>Bara</t>
  </si>
  <si>
    <t>Bhaktapur</t>
  </si>
  <si>
    <t>Chitawan</t>
  </si>
  <si>
    <t>Dhading</t>
  </si>
  <si>
    <t>Dhanusha</t>
  </si>
  <si>
    <t>Gorkha</t>
  </si>
  <si>
    <t>Jhapa</t>
  </si>
  <si>
    <t>Kathmandu</t>
  </si>
  <si>
    <t>Kavre</t>
  </si>
  <si>
    <t>Lalitpur</t>
  </si>
  <si>
    <t>Makwanpur</t>
  </si>
  <si>
    <t>Morang</t>
  </si>
  <si>
    <t>Nuwakot</t>
  </si>
  <si>
    <t>Nawalparasi</t>
  </si>
  <si>
    <t>Parsa</t>
  </si>
  <si>
    <t>Rauthat</t>
  </si>
  <si>
    <t>Sarlahi</t>
  </si>
  <si>
    <t>Sunsari</t>
  </si>
  <si>
    <t>Tanahu</t>
  </si>
  <si>
    <t>India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</si>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</sst>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10.0"/>
      <color theme="1"/>
      <name val="Ramesh"/>
    </font>
    <font>
      <b/>
      <sz val="10.0"/>
      <color theme="1"/>
      <name val="Arial"/>
    </font>
    <font>
      <b/>
      <sz val="14.0"/>
      <color theme="1"/>
      <name val="Preeti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5" fillId="0" fontId="14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9" fillId="0" fontId="14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horizontal="center" readingOrder="0" shrinkToFit="0" vertical="bottom" wrapText="0"/>
    </xf>
    <xf borderId="7" fillId="0" fontId="13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11" fillId="0" fontId="15" numFmtId="2" xfId="0" applyAlignment="1" applyBorder="1" applyFont="1" applyNumberFormat="1">
      <alignment shrinkToFit="0" vertical="bottom" wrapText="0"/>
    </xf>
    <xf borderId="7" fillId="0" fontId="16" numFmtId="0" xfId="0" applyAlignment="1" applyBorder="1" applyFont="1">
      <alignment shrinkToFit="0" vertical="bottom" wrapText="0"/>
    </xf>
    <xf borderId="7" fillId="0" fontId="14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3" fillId="0" fontId="15" numFmtId="2" xfId="0" applyAlignment="1" applyBorder="1" applyFont="1" applyNumberFormat="1">
      <alignment shrinkToFit="0" vertical="bottom" wrapText="0"/>
    </xf>
    <xf borderId="14" fillId="0" fontId="14" numFmtId="2" xfId="0" applyAlignment="1" applyBorder="1" applyFont="1" applyNumberFormat="1">
      <alignment shrinkToFit="0" vertical="bottom" wrapText="0"/>
    </xf>
    <xf borderId="15" fillId="0" fontId="15" numFmtId="2" xfId="0" applyAlignment="1" applyBorder="1" applyFont="1" applyNumberFormat="1">
      <alignment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6" fillId="0" fontId="17" numFmtId="0" xfId="0" applyAlignment="1" applyBorder="1" applyFont="1">
      <alignment horizontal="center" readingOrder="0" shrinkToFit="0" vertical="center" wrapText="0"/>
    </xf>
    <xf borderId="17" fillId="0" fontId="17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12" fillId="0" fontId="15" numFmtId="2" xfId="0" applyAlignment="1" applyBorder="1" applyFont="1" applyNumberFormat="1">
      <alignment shrinkToFit="0" vertical="bottom" wrapText="0"/>
    </xf>
    <xf borderId="14" fillId="0" fontId="15" numFmtId="2" xfId="0" applyAlignment="1" applyBorder="1" applyFont="1" applyNumberFormat="1">
      <alignment shrinkToFit="0" vertical="bottom" wrapText="0"/>
    </xf>
    <xf borderId="0" fillId="0" fontId="15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8.0"/>
    <col customWidth="1" min="3" max="4" width="7.88"/>
    <col customWidth="1" min="5" max="7" width="8.0"/>
    <col customWidth="1" min="8" max="8" width="7.75"/>
    <col customWidth="1" min="9" max="10" width="7.88"/>
    <col customWidth="1" min="11" max="11" width="7.75"/>
    <col customWidth="1" min="12" max="14" width="7.88"/>
    <col customWidth="1" min="15" max="15" width="8.0"/>
    <col customWidth="1" min="16" max="16" width="7.88"/>
    <col customWidth="1" min="17" max="19" width="8.0"/>
    <col customWidth="1" min="20" max="20" width="7.63"/>
    <col customWidth="1" min="21" max="21" width="7.88"/>
    <col customWidth="1" min="22" max="22" width="8.0"/>
    <col customWidth="1" min="23" max="23" width="8.13"/>
    <col customWidth="1" min="24" max="24" width="7.88"/>
    <col customWidth="1" min="25" max="25" width="8.0"/>
    <col customWidth="1" min="26" max="26" width="7.38"/>
    <col customWidth="1" min="27" max="27" width="7.88"/>
    <col customWidth="1" min="28" max="28" width="8.0"/>
    <col customWidth="1" min="29" max="29" width="7.63"/>
    <col customWidth="1" min="30" max="31" width="8.0"/>
    <col customWidth="1" min="32" max="32" width="7.88"/>
    <col customWidth="1" min="33" max="33" width="7.75"/>
    <col customWidth="1" min="34" max="34" width="7.88"/>
    <col customWidth="1" min="35" max="35" width="7.75"/>
    <col customWidth="1" min="36" max="36" width="7.88"/>
    <col customWidth="1" min="37" max="37" width="8.25"/>
    <col customWidth="1" min="38" max="38" width="7.75"/>
    <col customWidth="1" min="39" max="39" width="8.38"/>
    <col customWidth="1" min="40" max="40" width="8.0"/>
    <col customWidth="1" min="41" max="41" width="8.38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18.0</v>
      </c>
      <c r="D4" s="16">
        <v>70.0</v>
      </c>
      <c r="E4" s="16">
        <v>33.17</v>
      </c>
      <c r="F4" s="16">
        <v>20.0</v>
      </c>
      <c r="G4" s="16">
        <v>50.0</v>
      </c>
      <c r="H4" s="16">
        <v>30.01</v>
      </c>
      <c r="I4" s="16">
        <v>18.0</v>
      </c>
      <c r="J4" s="16">
        <v>48.0</v>
      </c>
      <c r="K4" s="16">
        <v>26.77</v>
      </c>
      <c r="L4" s="16">
        <v>38.0</v>
      </c>
      <c r="M4" s="16">
        <v>68.0</v>
      </c>
      <c r="N4" s="16">
        <v>45.85</v>
      </c>
      <c r="O4" s="16">
        <v>32.0</v>
      </c>
      <c r="P4" s="16">
        <v>58.0</v>
      </c>
      <c r="Q4" s="16">
        <v>46.69</v>
      </c>
      <c r="R4" s="16">
        <v>22.0</v>
      </c>
      <c r="S4" s="16">
        <v>50.0</v>
      </c>
      <c r="T4" s="16">
        <v>37.27</v>
      </c>
      <c r="U4" s="16">
        <v>20.0</v>
      </c>
      <c r="V4" s="16">
        <v>34.0</v>
      </c>
      <c r="W4" s="16">
        <v>25.26</v>
      </c>
      <c r="X4" s="16">
        <v>18.0</v>
      </c>
      <c r="Y4" s="16">
        <v>45.0</v>
      </c>
      <c r="Z4" s="16">
        <v>27.21</v>
      </c>
      <c r="AA4" s="16">
        <v>22.0</v>
      </c>
      <c r="AB4" s="16">
        <v>44.0</v>
      </c>
      <c r="AC4" s="16">
        <v>31.89</v>
      </c>
      <c r="AD4" s="16">
        <v>18.0</v>
      </c>
      <c r="AE4" s="16">
        <v>55.0</v>
      </c>
      <c r="AF4" s="16">
        <v>32.51</v>
      </c>
      <c r="AG4" s="16">
        <v>15.0</v>
      </c>
      <c r="AH4" s="16">
        <v>32.0</v>
      </c>
      <c r="AI4" s="16">
        <v>22.98</v>
      </c>
      <c r="AJ4" s="16">
        <v>14.0</v>
      </c>
      <c r="AK4" s="16">
        <v>50.0</v>
      </c>
      <c r="AL4" s="17">
        <v>28.24</v>
      </c>
      <c r="AM4" s="18">
        <v>14.0</v>
      </c>
      <c r="AN4" s="19">
        <v>70.0</v>
      </c>
      <c r="AO4" s="20">
        <v>32.32083333333333</v>
      </c>
    </row>
    <row r="5" ht="15.75" customHeight="1">
      <c r="A5" s="21" t="s">
        <v>20</v>
      </c>
      <c r="B5" s="22" t="s">
        <v>19</v>
      </c>
      <c r="C5" s="16">
        <v>18.0</v>
      </c>
      <c r="D5" s="16">
        <v>90.0</v>
      </c>
      <c r="E5" s="16">
        <v>37.85</v>
      </c>
      <c r="F5" s="16">
        <v>14.0</v>
      </c>
      <c r="G5" s="16">
        <v>45.0</v>
      </c>
      <c r="H5" s="16">
        <v>24.74</v>
      </c>
      <c r="I5" s="16">
        <v>9.0</v>
      </c>
      <c r="J5" s="16">
        <v>50.0</v>
      </c>
      <c r="K5" s="16">
        <v>21.51</v>
      </c>
      <c r="L5" s="16">
        <v>35.0</v>
      </c>
      <c r="M5" s="16">
        <v>65.0</v>
      </c>
      <c r="N5" s="16">
        <v>45.2</v>
      </c>
      <c r="O5" s="16">
        <v>38.0</v>
      </c>
      <c r="P5" s="16">
        <v>65.0</v>
      </c>
      <c r="Q5" s="16">
        <v>51.36</v>
      </c>
      <c r="R5" s="16">
        <v>34.0</v>
      </c>
      <c r="S5" s="16">
        <v>65.0</v>
      </c>
      <c r="T5" s="16">
        <v>48.7</v>
      </c>
      <c r="U5" s="16">
        <v>10.0</v>
      </c>
      <c r="V5" s="16">
        <v>26.0</v>
      </c>
      <c r="W5" s="16">
        <v>18.75</v>
      </c>
      <c r="X5" s="16">
        <v>10.0</v>
      </c>
      <c r="Y5" s="16">
        <v>40.0</v>
      </c>
      <c r="Z5" s="16">
        <v>26.28</v>
      </c>
      <c r="AA5" s="16">
        <v>20.0</v>
      </c>
      <c r="AB5" s="16">
        <v>34.0</v>
      </c>
      <c r="AC5" s="16">
        <v>26.85</v>
      </c>
      <c r="AD5" s="16">
        <v>16.0</v>
      </c>
      <c r="AE5" s="16">
        <v>42.0</v>
      </c>
      <c r="AF5" s="16">
        <v>28.29</v>
      </c>
      <c r="AG5" s="16">
        <v>14.0</v>
      </c>
      <c r="AH5" s="16">
        <v>42.0</v>
      </c>
      <c r="AI5" s="16">
        <v>23.79</v>
      </c>
      <c r="AJ5" s="16">
        <v>9.0</v>
      </c>
      <c r="AK5" s="16">
        <v>58.0</v>
      </c>
      <c r="AL5" s="17">
        <v>33.64</v>
      </c>
      <c r="AM5" s="18">
        <v>9.0</v>
      </c>
      <c r="AN5" s="19">
        <v>90.0</v>
      </c>
      <c r="AO5" s="20">
        <v>32.24666666666667</v>
      </c>
    </row>
    <row r="6" ht="15.75" customHeight="1">
      <c r="A6" s="14" t="s">
        <v>21</v>
      </c>
      <c r="B6" s="22" t="s">
        <v>19</v>
      </c>
      <c r="C6" s="16">
        <v>11.0</v>
      </c>
      <c r="D6" s="16">
        <v>24.0</v>
      </c>
      <c r="E6" s="16">
        <v>16.0</v>
      </c>
      <c r="F6" s="16">
        <v>19.0</v>
      </c>
      <c r="G6" s="16">
        <v>24.0</v>
      </c>
      <c r="H6" s="16">
        <v>21.36</v>
      </c>
      <c r="I6" s="16">
        <v>19.0</v>
      </c>
      <c r="J6" s="16">
        <v>23.0</v>
      </c>
      <c r="K6" s="16">
        <v>21.07</v>
      </c>
      <c r="L6" s="16">
        <v>19.0</v>
      </c>
      <c r="M6" s="16">
        <v>23.0</v>
      </c>
      <c r="N6" s="16">
        <v>21.72</v>
      </c>
      <c r="O6" s="16">
        <v>18.0</v>
      </c>
      <c r="P6" s="16">
        <v>27.0</v>
      </c>
      <c r="Q6" s="16">
        <v>23.57</v>
      </c>
      <c r="R6" s="16">
        <v>18.0</v>
      </c>
      <c r="S6" s="16">
        <v>29.0</v>
      </c>
      <c r="T6" s="16">
        <v>23.88</v>
      </c>
      <c r="U6" s="16">
        <v>19.0</v>
      </c>
      <c r="V6" s="16">
        <v>33.0</v>
      </c>
      <c r="W6" s="16">
        <v>25.97</v>
      </c>
      <c r="X6" s="16">
        <v>22.0</v>
      </c>
      <c r="Y6" s="16">
        <v>28.0</v>
      </c>
      <c r="Z6" s="16">
        <v>24.54</v>
      </c>
      <c r="AA6" s="16">
        <v>16.0</v>
      </c>
      <c r="AB6" s="16">
        <v>24.0</v>
      </c>
      <c r="AC6" s="16">
        <v>20.34</v>
      </c>
      <c r="AD6" s="16">
        <v>12.0</v>
      </c>
      <c r="AE6" s="16">
        <v>24.0</v>
      </c>
      <c r="AF6" s="16">
        <v>17.55</v>
      </c>
      <c r="AG6" s="16">
        <v>11.0</v>
      </c>
      <c r="AH6" s="16">
        <v>14.0</v>
      </c>
      <c r="AI6" s="16">
        <v>12.84</v>
      </c>
      <c r="AJ6" s="16">
        <v>12.0</v>
      </c>
      <c r="AK6" s="16">
        <v>15.0</v>
      </c>
      <c r="AL6" s="17">
        <v>12.73</v>
      </c>
      <c r="AM6" s="18">
        <v>11.0</v>
      </c>
      <c r="AN6" s="19">
        <v>33.0</v>
      </c>
      <c r="AO6" s="20">
        <v>20.13083333333333</v>
      </c>
    </row>
    <row r="7" ht="15.75" customHeight="1">
      <c r="A7" s="21" t="s">
        <v>22</v>
      </c>
      <c r="B7" s="22" t="s">
        <v>19</v>
      </c>
      <c r="C7" s="16">
        <v>9.0</v>
      </c>
      <c r="D7" s="16">
        <v>21.0</v>
      </c>
      <c r="E7" s="16">
        <v>13.28</v>
      </c>
      <c r="F7" s="16">
        <v>13.0</v>
      </c>
      <c r="G7" s="16">
        <v>17.0</v>
      </c>
      <c r="H7" s="16">
        <v>15.35</v>
      </c>
      <c r="I7" s="16">
        <v>13.0</v>
      </c>
      <c r="J7" s="16">
        <v>17.0</v>
      </c>
      <c r="K7" s="16">
        <v>15.75</v>
      </c>
      <c r="L7" s="16">
        <v>13.0</v>
      </c>
      <c r="M7" s="16">
        <v>19.0</v>
      </c>
      <c r="N7" s="16">
        <v>16.21</v>
      </c>
      <c r="O7" s="16">
        <v>12.0</v>
      </c>
      <c r="P7" s="16">
        <v>25.0</v>
      </c>
      <c r="Q7" s="16">
        <v>18.08</v>
      </c>
      <c r="R7" s="16">
        <v>14.0</v>
      </c>
      <c r="S7" s="16">
        <v>25.0</v>
      </c>
      <c r="T7" s="16">
        <v>20.0</v>
      </c>
      <c r="U7" s="16">
        <v>15.0</v>
      </c>
      <c r="V7" s="16">
        <v>26.0</v>
      </c>
      <c r="W7" s="16">
        <v>20.77</v>
      </c>
      <c r="X7" s="16">
        <v>19.0</v>
      </c>
      <c r="Y7" s="16">
        <v>24.0</v>
      </c>
      <c r="Z7" s="16">
        <v>20.57</v>
      </c>
      <c r="AA7" s="16">
        <v>11.0</v>
      </c>
      <c r="AB7" s="16">
        <v>20.0</v>
      </c>
      <c r="AC7" s="16">
        <v>15.16</v>
      </c>
      <c r="AD7" s="16">
        <v>9.0</v>
      </c>
      <c r="AE7" s="16">
        <v>13.0</v>
      </c>
      <c r="AF7" s="16">
        <v>10.63</v>
      </c>
      <c r="AG7" s="16">
        <v>8.0</v>
      </c>
      <c r="AH7" s="16">
        <v>12.0</v>
      </c>
      <c r="AI7" s="16">
        <v>10.47</v>
      </c>
      <c r="AJ7" s="16">
        <v>11.0</v>
      </c>
      <c r="AK7" s="16">
        <v>12.0</v>
      </c>
      <c r="AL7" s="17">
        <v>11.47</v>
      </c>
      <c r="AM7" s="18">
        <v>8.0</v>
      </c>
      <c r="AN7" s="19">
        <v>26.0</v>
      </c>
      <c r="AO7" s="20">
        <v>15.645</v>
      </c>
    </row>
    <row r="8" ht="15.75" customHeight="1">
      <c r="A8" s="21" t="s">
        <v>23</v>
      </c>
      <c r="B8" s="22" t="s">
        <v>19</v>
      </c>
      <c r="C8" s="16">
        <v>15.0</v>
      </c>
      <c r="D8" s="16">
        <v>22.0</v>
      </c>
      <c r="E8" s="16">
        <v>17.48</v>
      </c>
      <c r="F8" s="16">
        <v>15.0</v>
      </c>
      <c r="G8" s="16">
        <v>17.0</v>
      </c>
      <c r="H8" s="16">
        <v>16.01</v>
      </c>
      <c r="I8" s="16">
        <v>16.0</v>
      </c>
      <c r="J8" s="16">
        <v>20.0</v>
      </c>
      <c r="K8" s="16">
        <v>18.4</v>
      </c>
      <c r="L8" s="16">
        <v>19.0</v>
      </c>
      <c r="M8" s="16">
        <v>23.0</v>
      </c>
      <c r="N8" s="16">
        <v>20.48</v>
      </c>
      <c r="O8" s="16">
        <v>21.0</v>
      </c>
      <c r="P8" s="16">
        <v>31.0</v>
      </c>
      <c r="Q8" s="16">
        <v>25.63</v>
      </c>
      <c r="R8" s="16">
        <v>30.0</v>
      </c>
      <c r="S8" s="16">
        <v>39.0</v>
      </c>
      <c r="T8" s="16">
        <v>35.27</v>
      </c>
      <c r="U8" s="16">
        <v>34.0</v>
      </c>
      <c r="V8" s="16">
        <v>45.0</v>
      </c>
      <c r="W8" s="16">
        <v>36.69</v>
      </c>
      <c r="X8" s="16">
        <v>48.0</v>
      </c>
      <c r="Y8" s="16">
        <v>95.0</v>
      </c>
      <c r="Z8" s="16">
        <v>54.67</v>
      </c>
      <c r="AA8" s="16">
        <v>50.0</v>
      </c>
      <c r="AB8" s="16">
        <v>98.0</v>
      </c>
      <c r="AC8" s="16">
        <v>81.7</v>
      </c>
      <c r="AD8" s="16">
        <v>30.0</v>
      </c>
      <c r="AE8" s="16">
        <v>98.0</v>
      </c>
      <c r="AF8" s="16">
        <v>65.79</v>
      </c>
      <c r="AG8" s="16">
        <v>17.0</v>
      </c>
      <c r="AH8" s="16">
        <v>40.0</v>
      </c>
      <c r="AI8" s="16">
        <v>26.91</v>
      </c>
      <c r="AJ8" s="16">
        <v>15.0</v>
      </c>
      <c r="AK8" s="16">
        <v>22.0</v>
      </c>
      <c r="AL8" s="17">
        <v>18.02</v>
      </c>
      <c r="AM8" s="18">
        <v>15.0</v>
      </c>
      <c r="AN8" s="19">
        <v>98.0</v>
      </c>
      <c r="AO8" s="20">
        <v>34.75416666666667</v>
      </c>
    </row>
    <row r="9" ht="15.75" customHeight="1">
      <c r="A9" s="14" t="s">
        <v>24</v>
      </c>
      <c r="B9" s="22" t="s">
        <v>19</v>
      </c>
      <c r="C9" s="16">
        <v>16.0</v>
      </c>
      <c r="D9" s="16">
        <v>50.0</v>
      </c>
      <c r="E9" s="16">
        <v>24.76</v>
      </c>
      <c r="F9" s="16">
        <v>15.0</v>
      </c>
      <c r="G9" s="16">
        <v>30.0</v>
      </c>
      <c r="H9" s="16">
        <v>21.39</v>
      </c>
      <c r="I9" s="16">
        <v>26.0</v>
      </c>
      <c r="J9" s="16">
        <v>60.0</v>
      </c>
      <c r="K9" s="16">
        <v>44.34</v>
      </c>
      <c r="L9" s="16">
        <v>40.0</v>
      </c>
      <c r="M9" s="16">
        <v>70.0</v>
      </c>
      <c r="N9" s="16">
        <v>51.33</v>
      </c>
      <c r="O9" s="16">
        <v>40.0</v>
      </c>
      <c r="P9" s="16">
        <v>80.0</v>
      </c>
      <c r="Q9" s="16">
        <v>61.8</v>
      </c>
      <c r="R9" s="16">
        <v>50.0</v>
      </c>
      <c r="S9" s="16">
        <v>80.0</v>
      </c>
      <c r="T9" s="16">
        <v>65.52</v>
      </c>
      <c r="U9" s="16">
        <v>38.0</v>
      </c>
      <c r="V9" s="16">
        <v>75.0</v>
      </c>
      <c r="W9" s="16">
        <v>51.05</v>
      </c>
      <c r="X9" s="16">
        <v>20.0</v>
      </c>
      <c r="Y9" s="16">
        <v>65.0</v>
      </c>
      <c r="Z9" s="16">
        <v>39.56</v>
      </c>
      <c r="AA9" s="16">
        <v>23.0</v>
      </c>
      <c r="AB9" s="16">
        <v>36.0</v>
      </c>
      <c r="AC9" s="16">
        <v>28.58</v>
      </c>
      <c r="AD9" s="16">
        <v>16.0</v>
      </c>
      <c r="AE9" s="16">
        <v>36.0</v>
      </c>
      <c r="AF9" s="16">
        <v>24.46</v>
      </c>
      <c r="AG9" s="16">
        <v>14.0</v>
      </c>
      <c r="AH9" s="16">
        <v>22.0</v>
      </c>
      <c r="AI9" s="16">
        <v>18.12</v>
      </c>
      <c r="AJ9" s="16">
        <v>14.0</v>
      </c>
      <c r="AK9" s="16">
        <v>24.0</v>
      </c>
      <c r="AL9" s="17">
        <v>17.66</v>
      </c>
      <c r="AM9" s="18">
        <v>14.0</v>
      </c>
      <c r="AN9" s="19">
        <v>80.0</v>
      </c>
      <c r="AO9" s="20">
        <v>37.380833333333335</v>
      </c>
    </row>
    <row r="10" ht="15.75" customHeight="1">
      <c r="A10" s="21" t="s">
        <v>25</v>
      </c>
      <c r="B10" s="22" t="s">
        <v>19</v>
      </c>
      <c r="C10" s="16">
        <v>3.0</v>
      </c>
      <c r="D10" s="16">
        <v>30.0</v>
      </c>
      <c r="E10" s="16">
        <v>6.48</v>
      </c>
      <c r="F10" s="16">
        <v>3.0</v>
      </c>
      <c r="G10" s="16">
        <v>10.0</v>
      </c>
      <c r="H10" s="16">
        <v>5.14</v>
      </c>
      <c r="I10" s="16">
        <v>8.0</v>
      </c>
      <c r="J10" s="16">
        <v>22.0</v>
      </c>
      <c r="K10" s="16">
        <v>13.7</v>
      </c>
      <c r="L10" s="16">
        <v>14.0</v>
      </c>
      <c r="M10" s="16">
        <v>26.0</v>
      </c>
      <c r="N10" s="16">
        <v>21.63</v>
      </c>
      <c r="O10" s="16">
        <v>16.0</v>
      </c>
      <c r="P10" s="16">
        <v>40.0</v>
      </c>
      <c r="Q10" s="16">
        <v>24.36</v>
      </c>
      <c r="R10" s="16">
        <v>24.0</v>
      </c>
      <c r="S10" s="16">
        <v>42.0</v>
      </c>
      <c r="T10" s="16">
        <v>34.0</v>
      </c>
      <c r="U10" s="16">
        <v>19.0</v>
      </c>
      <c r="V10" s="16">
        <v>38.0</v>
      </c>
      <c r="W10" s="16">
        <v>25.52</v>
      </c>
      <c r="X10" s="16">
        <v>18.0</v>
      </c>
      <c r="Y10" s="16">
        <v>32.0</v>
      </c>
      <c r="Z10" s="16">
        <v>24.05</v>
      </c>
      <c r="AA10" s="16">
        <v>16.0</v>
      </c>
      <c r="AB10" s="16">
        <v>26.0</v>
      </c>
      <c r="AC10" s="16">
        <v>20.64</v>
      </c>
      <c r="AD10" s="16">
        <v>8.0</v>
      </c>
      <c r="AE10" s="16">
        <v>22.0</v>
      </c>
      <c r="AF10" s="16">
        <v>14.55</v>
      </c>
      <c r="AG10" s="16">
        <v>10.0</v>
      </c>
      <c r="AH10" s="16">
        <v>18.0</v>
      </c>
      <c r="AI10" s="16">
        <v>11.84</v>
      </c>
      <c r="AJ10" s="16">
        <v>7.0</v>
      </c>
      <c r="AK10" s="16">
        <v>14.0</v>
      </c>
      <c r="AL10" s="17">
        <v>10.38</v>
      </c>
      <c r="AM10" s="18">
        <v>3.0</v>
      </c>
      <c r="AN10" s="19">
        <v>42.0</v>
      </c>
      <c r="AO10" s="20">
        <v>17.690833333333337</v>
      </c>
    </row>
    <row r="11" ht="15.75" customHeight="1">
      <c r="A11" s="14" t="s">
        <v>26</v>
      </c>
      <c r="B11" s="22" t="s">
        <v>19</v>
      </c>
      <c r="C11" s="16">
        <v>14.0</v>
      </c>
      <c r="D11" s="16">
        <v>74.0</v>
      </c>
      <c r="E11" s="16">
        <v>28.74</v>
      </c>
      <c r="F11" s="16">
        <v>22.0</v>
      </c>
      <c r="G11" s="16">
        <v>40.0</v>
      </c>
      <c r="H11" s="16">
        <v>30.91</v>
      </c>
      <c r="I11" s="16">
        <v>18.0</v>
      </c>
      <c r="J11" s="16">
        <v>40.0</v>
      </c>
      <c r="K11" s="16">
        <v>28.71</v>
      </c>
      <c r="L11" s="16">
        <v>24.0</v>
      </c>
      <c r="M11" s="16">
        <v>40.0</v>
      </c>
      <c r="N11" s="16">
        <v>31.88</v>
      </c>
      <c r="O11" s="16">
        <v>26.0</v>
      </c>
      <c r="P11" s="16">
        <v>65.0</v>
      </c>
      <c r="Q11" s="16">
        <v>41.77</v>
      </c>
      <c r="R11" s="16">
        <v>32.0</v>
      </c>
      <c r="S11" s="16">
        <v>56.0</v>
      </c>
      <c r="T11" s="16">
        <v>42.05</v>
      </c>
      <c r="U11" s="16">
        <v>13.0</v>
      </c>
      <c r="V11" s="16">
        <v>46.0</v>
      </c>
      <c r="W11" s="16">
        <v>25.05</v>
      </c>
      <c r="X11" s="16">
        <v>24.0</v>
      </c>
      <c r="Y11" s="16">
        <v>44.0</v>
      </c>
      <c r="Z11" s="16">
        <v>32.31</v>
      </c>
      <c r="AA11" s="16">
        <v>16.0</v>
      </c>
      <c r="AB11" s="16">
        <v>48.0</v>
      </c>
      <c r="AC11" s="16">
        <v>32.06</v>
      </c>
      <c r="AD11" s="16">
        <v>10.0</v>
      </c>
      <c r="AE11" s="16">
        <v>42.0</v>
      </c>
      <c r="AF11" s="16">
        <v>22.21</v>
      </c>
      <c r="AG11" s="16">
        <v>8.0</v>
      </c>
      <c r="AH11" s="16">
        <v>28.0</v>
      </c>
      <c r="AI11" s="16">
        <v>18.25</v>
      </c>
      <c r="AJ11" s="16">
        <v>10.0</v>
      </c>
      <c r="AK11" s="16">
        <v>32.0</v>
      </c>
      <c r="AL11" s="17">
        <v>18.92</v>
      </c>
      <c r="AM11" s="18">
        <v>8.0</v>
      </c>
      <c r="AN11" s="19">
        <v>74.0</v>
      </c>
      <c r="AO11" s="20">
        <v>29.405</v>
      </c>
    </row>
    <row r="12" ht="15.75" customHeight="1">
      <c r="A12" s="14" t="s">
        <v>27</v>
      </c>
      <c r="B12" s="22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>
        <v>18.0</v>
      </c>
      <c r="Y12" s="16">
        <v>36.0</v>
      </c>
      <c r="Z12" s="16">
        <v>26.86</v>
      </c>
      <c r="AA12" s="16">
        <v>14.0</v>
      </c>
      <c r="AB12" s="16">
        <v>30.0</v>
      </c>
      <c r="AC12" s="16">
        <v>22.07</v>
      </c>
      <c r="AD12" s="16">
        <v>6.0</v>
      </c>
      <c r="AE12" s="16">
        <v>24.0</v>
      </c>
      <c r="AF12" s="16">
        <v>14.14</v>
      </c>
      <c r="AG12" s="16">
        <v>6.0</v>
      </c>
      <c r="AH12" s="16">
        <v>20.0</v>
      </c>
      <c r="AI12" s="16">
        <v>13.3</v>
      </c>
      <c r="AJ12" s="16">
        <v>11.0</v>
      </c>
      <c r="AK12" s="16">
        <v>14.0</v>
      </c>
      <c r="AL12" s="17">
        <v>12.5</v>
      </c>
      <c r="AM12" s="18">
        <v>6.0</v>
      </c>
      <c r="AN12" s="19">
        <v>36.0</v>
      </c>
      <c r="AO12" s="20">
        <v>17.774</v>
      </c>
    </row>
    <row r="13" ht="15.75" customHeight="1">
      <c r="A13" s="21" t="s">
        <v>28</v>
      </c>
      <c r="B13" s="22" t="s">
        <v>19</v>
      </c>
      <c r="C13" s="16">
        <v>24.0</v>
      </c>
      <c r="D13" s="16">
        <v>30.0</v>
      </c>
      <c r="E13" s="16">
        <v>25.97</v>
      </c>
      <c r="F13" s="16"/>
      <c r="G13" s="16"/>
      <c r="H13" s="16"/>
      <c r="I13" s="16">
        <v>18.0</v>
      </c>
      <c r="J13" s="16">
        <v>20.0</v>
      </c>
      <c r="K13" s="16">
        <v>19.0</v>
      </c>
      <c r="L13" s="16"/>
      <c r="M13" s="16"/>
      <c r="N13" s="16"/>
      <c r="O13" s="16">
        <v>18.0</v>
      </c>
      <c r="P13" s="16">
        <v>20.0</v>
      </c>
      <c r="Q13" s="16">
        <v>19.0</v>
      </c>
      <c r="R13" s="16">
        <v>25.0</v>
      </c>
      <c r="S13" s="16">
        <v>35.0</v>
      </c>
      <c r="T13" s="16">
        <v>29.54</v>
      </c>
      <c r="U13" s="16">
        <v>12.0</v>
      </c>
      <c r="V13" s="16">
        <v>16.0</v>
      </c>
      <c r="W13" s="16">
        <v>13.78</v>
      </c>
      <c r="X13" s="16">
        <v>10.0</v>
      </c>
      <c r="Y13" s="16">
        <v>28.0</v>
      </c>
      <c r="Z13" s="16">
        <v>18.01</v>
      </c>
      <c r="AA13" s="16">
        <v>12.0</v>
      </c>
      <c r="AB13" s="16">
        <v>22.0</v>
      </c>
      <c r="AC13" s="16">
        <v>17.57</v>
      </c>
      <c r="AD13" s="16">
        <v>16.0</v>
      </c>
      <c r="AE13" s="16">
        <v>32.0</v>
      </c>
      <c r="AF13" s="16">
        <v>21.18</v>
      </c>
      <c r="AG13" s="16">
        <v>16.0</v>
      </c>
      <c r="AH13" s="16">
        <v>25.0</v>
      </c>
      <c r="AI13" s="16">
        <v>19.54</v>
      </c>
      <c r="AJ13" s="16">
        <v>20.0</v>
      </c>
      <c r="AK13" s="16">
        <v>30.0</v>
      </c>
      <c r="AL13" s="17">
        <v>25.96</v>
      </c>
      <c r="AM13" s="18">
        <v>10.0</v>
      </c>
      <c r="AN13" s="19">
        <v>35.0</v>
      </c>
      <c r="AO13" s="20">
        <v>20.955</v>
      </c>
    </row>
    <row r="14" ht="15.75" customHeight="1">
      <c r="A14" s="21" t="s">
        <v>29</v>
      </c>
      <c r="B14" s="22" t="s">
        <v>19</v>
      </c>
      <c r="C14" s="16">
        <v>8.0</v>
      </c>
      <c r="D14" s="16">
        <v>40.0</v>
      </c>
      <c r="E14" s="16">
        <v>20.18</v>
      </c>
      <c r="F14" s="16">
        <v>8.0</v>
      </c>
      <c r="G14" s="16">
        <v>20.0</v>
      </c>
      <c r="H14" s="16">
        <v>14.12</v>
      </c>
      <c r="I14" s="16">
        <v>8.0</v>
      </c>
      <c r="J14" s="16">
        <v>18.0</v>
      </c>
      <c r="K14" s="16">
        <v>11.1</v>
      </c>
      <c r="L14" s="16">
        <v>8.0</v>
      </c>
      <c r="M14" s="16">
        <v>14.0</v>
      </c>
      <c r="N14" s="16">
        <v>11.01</v>
      </c>
      <c r="O14" s="16">
        <v>10.0</v>
      </c>
      <c r="P14" s="16">
        <v>32.0</v>
      </c>
      <c r="Q14" s="16">
        <v>18.03</v>
      </c>
      <c r="R14" s="16">
        <v>20.0</v>
      </c>
      <c r="S14" s="16">
        <v>38.0</v>
      </c>
      <c r="T14" s="16">
        <v>28.77</v>
      </c>
      <c r="U14" s="16">
        <v>8.0</v>
      </c>
      <c r="V14" s="16">
        <v>22.0</v>
      </c>
      <c r="W14" s="16">
        <v>14.33</v>
      </c>
      <c r="X14" s="16">
        <v>5.0</v>
      </c>
      <c r="Y14" s="16">
        <v>16.0</v>
      </c>
      <c r="Z14" s="16">
        <v>9.5</v>
      </c>
      <c r="AA14" s="16">
        <v>6.0</v>
      </c>
      <c r="AB14" s="16">
        <v>12.0</v>
      </c>
      <c r="AC14" s="16">
        <v>9.26</v>
      </c>
      <c r="AD14" s="16">
        <v>8.0</v>
      </c>
      <c r="AE14" s="16">
        <v>14.0</v>
      </c>
      <c r="AF14" s="16">
        <v>10.76</v>
      </c>
      <c r="AG14" s="16">
        <v>7.0</v>
      </c>
      <c r="AH14" s="16">
        <v>14.0</v>
      </c>
      <c r="AI14" s="16">
        <v>9.9</v>
      </c>
      <c r="AJ14" s="16">
        <v>7.0</v>
      </c>
      <c r="AK14" s="16">
        <v>25.0</v>
      </c>
      <c r="AL14" s="17">
        <v>12.52</v>
      </c>
      <c r="AM14" s="18">
        <v>5.0</v>
      </c>
      <c r="AN14" s="19">
        <v>40.0</v>
      </c>
      <c r="AO14" s="20">
        <v>14.123333333333333</v>
      </c>
    </row>
    <row r="15" ht="15.75" customHeight="1">
      <c r="A15" s="14" t="s">
        <v>30</v>
      </c>
      <c r="B15" s="22" t="s">
        <v>19</v>
      </c>
      <c r="C15" s="16">
        <v>14.0</v>
      </c>
      <c r="D15" s="16">
        <v>50.0</v>
      </c>
      <c r="E15" s="16">
        <v>23.28</v>
      </c>
      <c r="F15" s="16">
        <v>16.0</v>
      </c>
      <c r="G15" s="16">
        <v>30.0</v>
      </c>
      <c r="H15" s="16">
        <v>21.89</v>
      </c>
      <c r="I15" s="16">
        <v>15.0</v>
      </c>
      <c r="J15" s="16">
        <v>30.0</v>
      </c>
      <c r="K15" s="16">
        <v>21.46</v>
      </c>
      <c r="L15" s="16">
        <v>18.0</v>
      </c>
      <c r="M15" s="16">
        <v>30.0</v>
      </c>
      <c r="N15" s="16">
        <v>25.14</v>
      </c>
      <c r="O15" s="16">
        <v>10.0</v>
      </c>
      <c r="P15" s="16">
        <v>30.0</v>
      </c>
      <c r="Q15" s="16">
        <v>20.5</v>
      </c>
      <c r="R15" s="16">
        <v>19.0</v>
      </c>
      <c r="S15" s="16">
        <v>38.0</v>
      </c>
      <c r="T15" s="16">
        <v>27.01</v>
      </c>
      <c r="U15" s="16">
        <v>14.0</v>
      </c>
      <c r="V15" s="16">
        <v>40.0</v>
      </c>
      <c r="W15" s="16">
        <v>22.67</v>
      </c>
      <c r="X15" s="16">
        <v>16.0</v>
      </c>
      <c r="Y15" s="16">
        <v>26.0</v>
      </c>
      <c r="Z15" s="16">
        <v>20.72</v>
      </c>
      <c r="AA15" s="16">
        <v>16.0</v>
      </c>
      <c r="AB15" s="16">
        <v>26.0</v>
      </c>
      <c r="AC15" s="16">
        <v>21.58</v>
      </c>
      <c r="AD15" s="16">
        <v>22.0</v>
      </c>
      <c r="AE15" s="16">
        <v>36.0</v>
      </c>
      <c r="AF15" s="16">
        <v>30.85</v>
      </c>
      <c r="AG15" s="16">
        <v>16.0</v>
      </c>
      <c r="AH15" s="16">
        <v>44.0</v>
      </c>
      <c r="AI15" s="16">
        <v>30.21</v>
      </c>
      <c r="AJ15" s="16">
        <v>16.0</v>
      </c>
      <c r="AK15" s="16">
        <v>44.0</v>
      </c>
      <c r="AL15" s="17">
        <v>22.96</v>
      </c>
      <c r="AM15" s="18">
        <v>10.0</v>
      </c>
      <c r="AN15" s="19">
        <v>50.0</v>
      </c>
      <c r="AO15" s="20">
        <v>24.0225</v>
      </c>
    </row>
    <row r="16" ht="15.75" customHeight="1">
      <c r="A16" s="21" t="s">
        <v>31</v>
      </c>
      <c r="B16" s="22" t="s">
        <v>19</v>
      </c>
      <c r="C16" s="16">
        <v>18.0</v>
      </c>
      <c r="D16" s="16">
        <v>28.0</v>
      </c>
      <c r="E16" s="16">
        <v>23.28</v>
      </c>
      <c r="F16" s="16">
        <v>18.0</v>
      </c>
      <c r="G16" s="16">
        <v>28.0</v>
      </c>
      <c r="H16" s="16">
        <v>22.65</v>
      </c>
      <c r="I16" s="16">
        <v>16.0</v>
      </c>
      <c r="J16" s="16">
        <v>34.0</v>
      </c>
      <c r="K16" s="16">
        <v>23.07</v>
      </c>
      <c r="L16" s="16">
        <v>18.0</v>
      </c>
      <c r="M16" s="16">
        <v>34.0</v>
      </c>
      <c r="N16" s="16">
        <v>26.95</v>
      </c>
      <c r="O16" s="16">
        <v>12.0</v>
      </c>
      <c r="P16" s="16">
        <v>30.0</v>
      </c>
      <c r="Q16" s="16">
        <v>20.88</v>
      </c>
      <c r="R16" s="16">
        <v>18.0</v>
      </c>
      <c r="S16" s="16">
        <v>38.0</v>
      </c>
      <c r="T16" s="16">
        <v>26.63</v>
      </c>
      <c r="U16" s="16">
        <v>15.0</v>
      </c>
      <c r="V16" s="16">
        <v>38.0</v>
      </c>
      <c r="W16" s="16">
        <v>22.73</v>
      </c>
      <c r="X16" s="16">
        <v>18.0</v>
      </c>
      <c r="Y16" s="16">
        <v>28.0</v>
      </c>
      <c r="Z16" s="16">
        <v>21.52</v>
      </c>
      <c r="AA16" s="16">
        <v>22.0</v>
      </c>
      <c r="AB16" s="16">
        <v>35.0</v>
      </c>
      <c r="AC16" s="16">
        <v>29.88</v>
      </c>
      <c r="AD16" s="16">
        <v>35.0</v>
      </c>
      <c r="AE16" s="16">
        <v>36.0</v>
      </c>
      <c r="AF16" s="16">
        <v>35.5</v>
      </c>
      <c r="AG16" s="16">
        <v>30.0</v>
      </c>
      <c r="AH16" s="16">
        <v>36.0</v>
      </c>
      <c r="AI16" s="16">
        <v>33.0</v>
      </c>
      <c r="AJ16" s="16">
        <v>20.0</v>
      </c>
      <c r="AK16" s="16">
        <v>40.0</v>
      </c>
      <c r="AL16" s="17">
        <v>24.82</v>
      </c>
      <c r="AM16" s="18">
        <v>12.0</v>
      </c>
      <c r="AN16" s="19">
        <v>40.0</v>
      </c>
      <c r="AO16" s="20">
        <v>25.909166666666668</v>
      </c>
    </row>
    <row r="17" ht="15.75" customHeight="1">
      <c r="A17" s="14" t="s">
        <v>32</v>
      </c>
      <c r="B17" s="22" t="s">
        <v>19</v>
      </c>
      <c r="C17" s="16">
        <v>19.0</v>
      </c>
      <c r="D17" s="16">
        <v>120.0</v>
      </c>
      <c r="E17" s="16">
        <v>33.92</v>
      </c>
      <c r="F17" s="16">
        <v>10.0</v>
      </c>
      <c r="G17" s="16">
        <v>26.0</v>
      </c>
      <c r="H17" s="16">
        <v>17.08</v>
      </c>
      <c r="I17" s="16">
        <v>18.0</v>
      </c>
      <c r="J17" s="16">
        <v>50.0</v>
      </c>
      <c r="K17" s="16">
        <v>34.16</v>
      </c>
      <c r="L17" s="16">
        <v>32.0</v>
      </c>
      <c r="M17" s="16">
        <v>70.0</v>
      </c>
      <c r="N17" s="16">
        <v>52.98</v>
      </c>
      <c r="O17" s="16">
        <v>28.0</v>
      </c>
      <c r="P17" s="16">
        <v>46.0</v>
      </c>
      <c r="Q17" s="16">
        <v>36.67</v>
      </c>
      <c r="R17" s="16">
        <v>30.0</v>
      </c>
      <c r="S17" s="16">
        <v>60.0</v>
      </c>
      <c r="T17" s="16">
        <v>46.46</v>
      </c>
      <c r="U17" s="16">
        <v>25.0</v>
      </c>
      <c r="V17" s="16">
        <v>60.0</v>
      </c>
      <c r="W17" s="16">
        <v>45.53</v>
      </c>
      <c r="X17" s="16">
        <v>35.0</v>
      </c>
      <c r="Y17" s="16">
        <v>55.0</v>
      </c>
      <c r="Z17" s="16">
        <v>44.0</v>
      </c>
      <c r="AA17" s="16">
        <v>34.0</v>
      </c>
      <c r="AB17" s="16">
        <v>44.0</v>
      </c>
      <c r="AC17" s="16">
        <v>39.3</v>
      </c>
      <c r="AD17" s="16">
        <v>38.0</v>
      </c>
      <c r="AE17" s="16">
        <v>46.0</v>
      </c>
      <c r="AF17" s="16">
        <v>41.5</v>
      </c>
      <c r="AG17" s="16"/>
      <c r="AH17" s="16"/>
      <c r="AI17" s="16"/>
      <c r="AJ17" s="16">
        <v>45.0</v>
      </c>
      <c r="AK17" s="16">
        <v>100.0</v>
      </c>
      <c r="AL17" s="17">
        <v>61.17</v>
      </c>
      <c r="AM17" s="18">
        <v>10.0</v>
      </c>
      <c r="AN17" s="19">
        <v>120.0</v>
      </c>
      <c r="AO17" s="20">
        <v>41.160909090909094</v>
      </c>
    </row>
    <row r="18" ht="15.75" customHeight="1">
      <c r="A18" s="21" t="s">
        <v>33</v>
      </c>
      <c r="B18" s="22" t="s">
        <v>19</v>
      </c>
      <c r="C18" s="16">
        <v>20.0</v>
      </c>
      <c r="D18" s="16">
        <v>60.0</v>
      </c>
      <c r="E18" s="16">
        <v>43.28</v>
      </c>
      <c r="F18" s="16">
        <v>40.0</v>
      </c>
      <c r="G18" s="16">
        <v>80.0</v>
      </c>
      <c r="H18" s="16">
        <v>54.2</v>
      </c>
      <c r="I18" s="16">
        <v>55.0</v>
      </c>
      <c r="J18" s="16">
        <v>120.0</v>
      </c>
      <c r="K18" s="16">
        <v>76.77</v>
      </c>
      <c r="L18" s="16"/>
      <c r="M18" s="16"/>
      <c r="N18" s="16"/>
      <c r="O18" s="16"/>
      <c r="P18" s="16"/>
      <c r="Q18" s="16"/>
      <c r="R18" s="16">
        <v>90.0</v>
      </c>
      <c r="S18" s="16">
        <v>100.0</v>
      </c>
      <c r="T18" s="16">
        <v>95.0</v>
      </c>
      <c r="U18" s="16">
        <v>30.0</v>
      </c>
      <c r="V18" s="16">
        <v>100.0</v>
      </c>
      <c r="W18" s="16">
        <v>59.46</v>
      </c>
      <c r="X18" s="16">
        <v>34.0</v>
      </c>
      <c r="Y18" s="16">
        <v>70.0</v>
      </c>
      <c r="Z18" s="16">
        <v>53.0</v>
      </c>
      <c r="AA18" s="16">
        <v>22.0</v>
      </c>
      <c r="AB18" s="16">
        <v>44.0</v>
      </c>
      <c r="AC18" s="16">
        <v>32.0</v>
      </c>
      <c r="AD18" s="16">
        <v>20.0</v>
      </c>
      <c r="AE18" s="16">
        <v>42.0</v>
      </c>
      <c r="AF18" s="16">
        <v>29.36</v>
      </c>
      <c r="AG18" s="16">
        <v>15.0</v>
      </c>
      <c r="AH18" s="16">
        <v>32.0</v>
      </c>
      <c r="AI18" s="16">
        <v>24.27</v>
      </c>
      <c r="AJ18" s="16">
        <v>18.0</v>
      </c>
      <c r="AK18" s="16">
        <v>38.0</v>
      </c>
      <c r="AL18" s="17">
        <v>26.53</v>
      </c>
      <c r="AM18" s="18">
        <v>15.0</v>
      </c>
      <c r="AN18" s="19">
        <v>120.0</v>
      </c>
      <c r="AO18" s="20">
        <v>49.387</v>
      </c>
    </row>
    <row r="19" ht="15.75" customHeight="1">
      <c r="A19" s="14" t="s">
        <v>34</v>
      </c>
      <c r="B19" s="22" t="s">
        <v>19</v>
      </c>
      <c r="C19" s="16">
        <v>12.0</v>
      </c>
      <c r="D19" s="16">
        <v>70.0</v>
      </c>
      <c r="E19" s="16">
        <v>30.14</v>
      </c>
      <c r="F19" s="16">
        <v>14.0</v>
      </c>
      <c r="G19" s="16">
        <v>36.0</v>
      </c>
      <c r="H19" s="16">
        <v>22.6</v>
      </c>
      <c r="I19" s="16">
        <v>20.0</v>
      </c>
      <c r="J19" s="16">
        <v>58.0</v>
      </c>
      <c r="K19" s="16">
        <v>32.12</v>
      </c>
      <c r="L19" s="16">
        <v>45.0</v>
      </c>
      <c r="M19" s="16">
        <v>65.0</v>
      </c>
      <c r="N19" s="16">
        <v>51.24</v>
      </c>
      <c r="O19" s="16">
        <v>24.0</v>
      </c>
      <c r="P19" s="16">
        <v>56.0</v>
      </c>
      <c r="Q19" s="16">
        <v>43.67</v>
      </c>
      <c r="R19" s="16">
        <v>18.0</v>
      </c>
      <c r="S19" s="16">
        <v>48.0</v>
      </c>
      <c r="T19" s="16">
        <v>32.71</v>
      </c>
      <c r="U19" s="16">
        <v>14.0</v>
      </c>
      <c r="V19" s="16">
        <v>40.0</v>
      </c>
      <c r="W19" s="16">
        <v>24.79</v>
      </c>
      <c r="X19" s="16">
        <v>28.0</v>
      </c>
      <c r="Y19" s="16">
        <v>46.0</v>
      </c>
      <c r="Z19" s="16">
        <v>37.66</v>
      </c>
      <c r="AA19" s="16">
        <v>32.0</v>
      </c>
      <c r="AB19" s="16">
        <v>48.0</v>
      </c>
      <c r="AC19" s="16">
        <v>39.82</v>
      </c>
      <c r="AD19" s="16">
        <v>34.0</v>
      </c>
      <c r="AE19" s="16">
        <v>70.0</v>
      </c>
      <c r="AF19" s="16">
        <v>52.02</v>
      </c>
      <c r="AG19" s="16">
        <v>25.0</v>
      </c>
      <c r="AH19" s="16">
        <v>75.0</v>
      </c>
      <c r="AI19" s="16">
        <v>48.85</v>
      </c>
      <c r="AJ19" s="16">
        <v>16.0</v>
      </c>
      <c r="AK19" s="16">
        <v>45.0</v>
      </c>
      <c r="AL19" s="17">
        <v>26.48</v>
      </c>
      <c r="AM19" s="18">
        <v>12.0</v>
      </c>
      <c r="AN19" s="19">
        <v>75.0</v>
      </c>
      <c r="AO19" s="20">
        <v>36.84166666666666</v>
      </c>
    </row>
    <row r="20" ht="15.75" customHeight="1">
      <c r="A20" s="14" t="s">
        <v>35</v>
      </c>
      <c r="B20" s="22" t="s">
        <v>19</v>
      </c>
      <c r="C20" s="16"/>
      <c r="D20" s="16"/>
      <c r="E20" s="16"/>
      <c r="F20" s="16">
        <v>28.0</v>
      </c>
      <c r="G20" s="16">
        <v>40.0</v>
      </c>
      <c r="H20" s="16">
        <v>32.83</v>
      </c>
      <c r="I20" s="16">
        <v>28.0</v>
      </c>
      <c r="J20" s="16">
        <v>90.0</v>
      </c>
      <c r="K20" s="16">
        <v>40.43</v>
      </c>
      <c r="L20" s="16">
        <v>80.0</v>
      </c>
      <c r="M20" s="16">
        <v>100.0</v>
      </c>
      <c r="N20" s="16">
        <v>85.0</v>
      </c>
      <c r="O20" s="16">
        <v>60.0</v>
      </c>
      <c r="P20" s="16">
        <v>90.0</v>
      </c>
      <c r="Q20" s="16">
        <v>80.0</v>
      </c>
      <c r="R20" s="16">
        <v>58.0</v>
      </c>
      <c r="S20" s="16">
        <v>85.0</v>
      </c>
      <c r="T20" s="16">
        <v>74.82</v>
      </c>
      <c r="U20" s="16">
        <v>25.0</v>
      </c>
      <c r="V20" s="16">
        <v>60.0</v>
      </c>
      <c r="W20" s="16">
        <v>36.04</v>
      </c>
      <c r="X20" s="16">
        <v>32.0</v>
      </c>
      <c r="Y20" s="16">
        <v>50.0</v>
      </c>
      <c r="Z20" s="16">
        <v>42.16</v>
      </c>
      <c r="AA20" s="16">
        <v>24.0</v>
      </c>
      <c r="AB20" s="16">
        <v>40.0</v>
      </c>
      <c r="AC20" s="16">
        <v>32.94</v>
      </c>
      <c r="AD20" s="16">
        <v>26.0</v>
      </c>
      <c r="AE20" s="16">
        <v>40.0</v>
      </c>
      <c r="AF20" s="16">
        <v>33.16</v>
      </c>
      <c r="AG20" s="16">
        <v>18.0</v>
      </c>
      <c r="AH20" s="16">
        <v>54.0</v>
      </c>
      <c r="AI20" s="16">
        <v>32.01</v>
      </c>
      <c r="AJ20" s="16">
        <v>14.0</v>
      </c>
      <c r="AK20" s="16">
        <v>56.0</v>
      </c>
      <c r="AL20" s="17">
        <v>27.26</v>
      </c>
      <c r="AM20" s="18">
        <v>14.0</v>
      </c>
      <c r="AN20" s="19">
        <v>100.0</v>
      </c>
      <c r="AO20" s="20">
        <v>46.96818181818182</v>
      </c>
    </row>
    <row r="21" ht="15.75" customHeight="1">
      <c r="A21" s="21" t="s">
        <v>36</v>
      </c>
      <c r="B21" s="22" t="s">
        <v>19</v>
      </c>
      <c r="C21" s="16"/>
      <c r="D21" s="16"/>
      <c r="E21" s="16"/>
      <c r="F21" s="16">
        <v>28.0</v>
      </c>
      <c r="G21" s="16">
        <v>60.0</v>
      </c>
      <c r="H21" s="16">
        <v>35.63</v>
      </c>
      <c r="I21" s="16">
        <v>30.0</v>
      </c>
      <c r="J21" s="16">
        <v>60.0</v>
      </c>
      <c r="K21" s="16">
        <v>42.36</v>
      </c>
      <c r="L21" s="16">
        <v>26.0</v>
      </c>
      <c r="M21" s="16">
        <v>55.0</v>
      </c>
      <c r="N21" s="16">
        <v>36.03</v>
      </c>
      <c r="O21" s="16">
        <v>22.0</v>
      </c>
      <c r="P21" s="16">
        <v>60.0</v>
      </c>
      <c r="Q21" s="16">
        <v>36.88</v>
      </c>
      <c r="R21" s="16">
        <v>25.0</v>
      </c>
      <c r="S21" s="16">
        <v>55.0</v>
      </c>
      <c r="T21" s="16">
        <v>38.85</v>
      </c>
      <c r="U21" s="16">
        <v>26.0</v>
      </c>
      <c r="V21" s="16">
        <v>40.0</v>
      </c>
      <c r="W21" s="16">
        <v>29.5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22.0</v>
      </c>
      <c r="AN21" s="19">
        <v>60.0</v>
      </c>
      <c r="AO21" s="20">
        <v>36.541666666666664</v>
      </c>
    </row>
    <row r="22" ht="15.75" customHeight="1">
      <c r="A22" s="21" t="s">
        <v>37</v>
      </c>
      <c r="B22" s="22" t="s">
        <v>19</v>
      </c>
      <c r="C22" s="16">
        <v>16.0</v>
      </c>
      <c r="D22" s="16">
        <v>60.0</v>
      </c>
      <c r="E22" s="16">
        <v>34.07</v>
      </c>
      <c r="F22" s="16">
        <v>8.0</v>
      </c>
      <c r="G22" s="16">
        <v>36.0</v>
      </c>
      <c r="H22" s="16">
        <v>17.56</v>
      </c>
      <c r="I22" s="16">
        <v>12.0</v>
      </c>
      <c r="J22" s="16">
        <v>42.0</v>
      </c>
      <c r="K22" s="16">
        <v>24.8</v>
      </c>
      <c r="L22" s="16">
        <v>15.0</v>
      </c>
      <c r="M22" s="16">
        <v>38.0</v>
      </c>
      <c r="N22" s="16">
        <v>28.57</v>
      </c>
      <c r="O22" s="16">
        <v>13.0</v>
      </c>
      <c r="P22" s="16">
        <v>55.0</v>
      </c>
      <c r="Q22" s="16">
        <v>32.88</v>
      </c>
      <c r="R22" s="16">
        <v>32.0</v>
      </c>
      <c r="S22" s="16">
        <v>62.0</v>
      </c>
      <c r="T22" s="16">
        <v>47.52</v>
      </c>
      <c r="U22" s="16">
        <v>20.0</v>
      </c>
      <c r="V22" s="16">
        <v>45.0</v>
      </c>
      <c r="W22" s="16">
        <v>36.02</v>
      </c>
      <c r="X22" s="16">
        <v>30.0</v>
      </c>
      <c r="Y22" s="16">
        <v>44.0</v>
      </c>
      <c r="Z22" s="16">
        <v>35.87</v>
      </c>
      <c r="AA22" s="16">
        <v>34.0</v>
      </c>
      <c r="AB22" s="16">
        <v>65.0</v>
      </c>
      <c r="AC22" s="16">
        <v>50.92</v>
      </c>
      <c r="AD22" s="16">
        <v>55.0</v>
      </c>
      <c r="AE22" s="16">
        <v>100.0</v>
      </c>
      <c r="AF22" s="16">
        <v>74.37</v>
      </c>
      <c r="AG22" s="16">
        <v>65.0</v>
      </c>
      <c r="AH22" s="16">
        <v>110.0</v>
      </c>
      <c r="AI22" s="16">
        <v>79.57</v>
      </c>
      <c r="AJ22" s="16">
        <v>32.0</v>
      </c>
      <c r="AK22" s="16">
        <v>70.0</v>
      </c>
      <c r="AL22" s="17">
        <v>45.14</v>
      </c>
      <c r="AM22" s="18">
        <v>8.0</v>
      </c>
      <c r="AN22" s="19">
        <v>110.0</v>
      </c>
      <c r="AO22" s="20">
        <v>42.274166666666666</v>
      </c>
    </row>
    <row r="23" ht="15.75" customHeight="1">
      <c r="A23" s="14" t="s">
        <v>38</v>
      </c>
      <c r="B23" s="22" t="s">
        <v>19</v>
      </c>
      <c r="C23" s="16">
        <v>8.0</v>
      </c>
      <c r="D23" s="16">
        <v>40.0</v>
      </c>
      <c r="E23" s="16">
        <v>17.15</v>
      </c>
      <c r="F23" s="16">
        <v>8.0</v>
      </c>
      <c r="G23" s="16">
        <v>20.0</v>
      </c>
      <c r="H23" s="16">
        <v>15.87</v>
      </c>
      <c r="I23" s="16">
        <v>14.0</v>
      </c>
      <c r="J23" s="16">
        <v>35.0</v>
      </c>
      <c r="K23" s="16">
        <v>22.34</v>
      </c>
      <c r="L23" s="16">
        <v>14.0</v>
      </c>
      <c r="M23" s="16">
        <v>34.0</v>
      </c>
      <c r="N23" s="16">
        <v>23.98</v>
      </c>
      <c r="O23" s="16">
        <v>13.0</v>
      </c>
      <c r="P23" s="16">
        <v>45.0</v>
      </c>
      <c r="Q23" s="16">
        <v>26.15</v>
      </c>
      <c r="R23" s="16">
        <v>12.0</v>
      </c>
      <c r="S23" s="16">
        <v>40.0</v>
      </c>
      <c r="T23" s="16">
        <v>25.62</v>
      </c>
      <c r="U23" s="16">
        <v>10.0</v>
      </c>
      <c r="V23" s="16">
        <v>40.0</v>
      </c>
      <c r="W23" s="16">
        <v>21.1</v>
      </c>
      <c r="X23" s="16">
        <v>18.0</v>
      </c>
      <c r="Y23" s="16">
        <v>30.0</v>
      </c>
      <c r="Z23" s="16">
        <v>23.84</v>
      </c>
      <c r="AA23" s="16">
        <v>18.0</v>
      </c>
      <c r="AB23" s="16">
        <v>30.0</v>
      </c>
      <c r="AC23" s="16">
        <v>24.86</v>
      </c>
      <c r="AD23" s="16">
        <v>24.0</v>
      </c>
      <c r="AE23" s="16">
        <v>40.0</v>
      </c>
      <c r="AF23" s="16">
        <v>29.76</v>
      </c>
      <c r="AG23" s="16">
        <v>20.0</v>
      </c>
      <c r="AH23" s="16">
        <v>38.0</v>
      </c>
      <c r="AI23" s="16">
        <v>28.03</v>
      </c>
      <c r="AJ23" s="16">
        <v>16.0</v>
      </c>
      <c r="AK23" s="16">
        <v>28.0</v>
      </c>
      <c r="AL23" s="17">
        <v>22.12</v>
      </c>
      <c r="AM23" s="18">
        <v>8.0</v>
      </c>
      <c r="AN23" s="19">
        <v>45.0</v>
      </c>
      <c r="AO23" s="20">
        <v>23.40166666666667</v>
      </c>
    </row>
    <row r="24" ht="15.75" customHeight="1">
      <c r="A24" s="21" t="s">
        <v>39</v>
      </c>
      <c r="B24" s="22" t="s">
        <v>19</v>
      </c>
      <c r="C24" s="16">
        <v>18.0</v>
      </c>
      <c r="D24" s="16">
        <v>76.0</v>
      </c>
      <c r="E24" s="16">
        <v>31.41</v>
      </c>
      <c r="F24" s="16">
        <v>16.0</v>
      </c>
      <c r="G24" s="16">
        <v>28.0</v>
      </c>
      <c r="H24" s="16">
        <v>22.31</v>
      </c>
      <c r="I24" s="16">
        <v>20.0</v>
      </c>
      <c r="J24" s="16">
        <v>36.0</v>
      </c>
      <c r="K24" s="16">
        <v>27.82</v>
      </c>
      <c r="L24" s="16">
        <v>18.0</v>
      </c>
      <c r="M24" s="16">
        <v>32.0</v>
      </c>
      <c r="N24" s="16">
        <v>24.73</v>
      </c>
      <c r="O24" s="16">
        <v>18.0</v>
      </c>
      <c r="P24" s="16">
        <v>38.0</v>
      </c>
      <c r="Q24" s="16">
        <v>26.41</v>
      </c>
      <c r="R24" s="16">
        <v>18.0</v>
      </c>
      <c r="S24" s="16">
        <v>40.0</v>
      </c>
      <c r="T24" s="16">
        <v>28.74</v>
      </c>
      <c r="U24" s="16">
        <v>18.0</v>
      </c>
      <c r="V24" s="16">
        <v>40.0</v>
      </c>
      <c r="W24" s="16">
        <v>29.9</v>
      </c>
      <c r="X24" s="16">
        <v>26.0</v>
      </c>
      <c r="Y24" s="16">
        <v>45.0</v>
      </c>
      <c r="Z24" s="16">
        <v>33.62</v>
      </c>
      <c r="AA24" s="16">
        <v>35.0</v>
      </c>
      <c r="AB24" s="16">
        <v>70.0</v>
      </c>
      <c r="AC24" s="16">
        <v>51.15</v>
      </c>
      <c r="AD24" s="16"/>
      <c r="AE24" s="16"/>
      <c r="AF24" s="16"/>
      <c r="AG24" s="16">
        <v>55.0</v>
      </c>
      <c r="AH24" s="16">
        <v>160.0</v>
      </c>
      <c r="AI24" s="16">
        <v>92.43</v>
      </c>
      <c r="AJ24" s="16">
        <v>28.0</v>
      </c>
      <c r="AK24" s="16">
        <v>65.0</v>
      </c>
      <c r="AL24" s="17">
        <v>41.24</v>
      </c>
      <c r="AM24" s="18">
        <v>16.0</v>
      </c>
      <c r="AN24" s="19">
        <v>160.0</v>
      </c>
      <c r="AO24" s="20">
        <v>37.2509090909091</v>
      </c>
    </row>
    <row r="25" ht="15.75" customHeight="1">
      <c r="A25" s="21" t="s">
        <v>40</v>
      </c>
      <c r="B25" s="22" t="s">
        <v>19</v>
      </c>
      <c r="C25" s="16">
        <v>35.0</v>
      </c>
      <c r="D25" s="16">
        <v>40.0</v>
      </c>
      <c r="E25" s="16">
        <v>38.17</v>
      </c>
      <c r="F25" s="16">
        <v>18.0</v>
      </c>
      <c r="G25" s="16">
        <v>40.0</v>
      </c>
      <c r="H25" s="16">
        <v>29.33</v>
      </c>
      <c r="I25" s="16">
        <v>18.0</v>
      </c>
      <c r="J25" s="16">
        <v>38.0</v>
      </c>
      <c r="K25" s="16">
        <v>25.03</v>
      </c>
      <c r="L25" s="16">
        <v>20.0</v>
      </c>
      <c r="M25" s="16">
        <v>42.0</v>
      </c>
      <c r="N25" s="16">
        <v>34.24</v>
      </c>
      <c r="O25" s="16">
        <v>18.0</v>
      </c>
      <c r="P25" s="16">
        <v>40.0</v>
      </c>
      <c r="Q25" s="16">
        <v>27.44</v>
      </c>
      <c r="R25" s="16">
        <v>18.0</v>
      </c>
      <c r="S25" s="16">
        <v>40.0</v>
      </c>
      <c r="T25" s="16">
        <v>33.76</v>
      </c>
      <c r="U25" s="16">
        <v>16.0</v>
      </c>
      <c r="V25" s="16">
        <v>25.0</v>
      </c>
      <c r="W25" s="16">
        <v>19.08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>
        <v>40.0</v>
      </c>
      <c r="AH25" s="16">
        <v>50.0</v>
      </c>
      <c r="AI25" s="16">
        <v>43.5</v>
      </c>
      <c r="AJ25" s="16">
        <v>38.0</v>
      </c>
      <c r="AK25" s="16">
        <v>50.0</v>
      </c>
      <c r="AL25" s="17">
        <v>42.2</v>
      </c>
      <c r="AM25" s="18">
        <v>16.0</v>
      </c>
      <c r="AN25" s="19">
        <v>50.0</v>
      </c>
      <c r="AO25" s="20">
        <v>32.52777777777778</v>
      </c>
    </row>
    <row r="26" ht="15.75" customHeight="1">
      <c r="A26" s="21" t="s">
        <v>41</v>
      </c>
      <c r="B26" s="22" t="s">
        <v>19</v>
      </c>
      <c r="C26" s="16">
        <v>15.0</v>
      </c>
      <c r="D26" s="16">
        <v>54.0</v>
      </c>
      <c r="E26" s="16">
        <v>38.06</v>
      </c>
      <c r="F26" s="16">
        <v>10.0</v>
      </c>
      <c r="G26" s="16">
        <v>35.0</v>
      </c>
      <c r="H26" s="16">
        <v>18.34</v>
      </c>
      <c r="I26" s="16">
        <v>14.0</v>
      </c>
      <c r="J26" s="16">
        <v>36.0</v>
      </c>
      <c r="K26" s="16">
        <v>23.95</v>
      </c>
      <c r="L26" s="16">
        <v>12.0</v>
      </c>
      <c r="M26" s="16">
        <v>35.0</v>
      </c>
      <c r="N26" s="16">
        <v>24.34</v>
      </c>
      <c r="O26" s="16">
        <v>10.0</v>
      </c>
      <c r="P26" s="16">
        <v>45.0</v>
      </c>
      <c r="Q26" s="16">
        <v>21.22</v>
      </c>
      <c r="R26" s="16">
        <v>15.0</v>
      </c>
      <c r="S26" s="16">
        <v>42.0</v>
      </c>
      <c r="T26" s="16">
        <v>24.16</v>
      </c>
      <c r="U26" s="16">
        <v>18.0</v>
      </c>
      <c r="V26" s="16">
        <v>40.0</v>
      </c>
      <c r="W26" s="16">
        <v>30.62</v>
      </c>
      <c r="X26" s="16">
        <v>30.0</v>
      </c>
      <c r="Y26" s="16">
        <v>52.0</v>
      </c>
      <c r="Z26" s="16">
        <v>43.79</v>
      </c>
      <c r="AA26" s="16">
        <v>55.0</v>
      </c>
      <c r="AB26" s="16">
        <v>60.0</v>
      </c>
      <c r="AC26" s="16">
        <v>57.5</v>
      </c>
      <c r="AD26" s="16"/>
      <c r="AE26" s="16"/>
      <c r="AF26" s="16"/>
      <c r="AG26" s="16">
        <v>45.0</v>
      </c>
      <c r="AH26" s="16">
        <v>80.0</v>
      </c>
      <c r="AI26" s="16">
        <v>62.5</v>
      </c>
      <c r="AJ26" s="16">
        <v>38.0</v>
      </c>
      <c r="AK26" s="16">
        <v>55.0</v>
      </c>
      <c r="AL26" s="17">
        <v>45.05</v>
      </c>
      <c r="AM26" s="18">
        <v>10.0</v>
      </c>
      <c r="AN26" s="19">
        <v>80.0</v>
      </c>
      <c r="AO26" s="20">
        <v>35.411818181818184</v>
      </c>
    </row>
    <row r="27" ht="15.75" customHeight="1">
      <c r="A27" s="21" t="s">
        <v>42</v>
      </c>
      <c r="B27" s="22" t="s">
        <v>19</v>
      </c>
      <c r="C27" s="16">
        <v>28.0</v>
      </c>
      <c r="D27" s="16">
        <v>36.0</v>
      </c>
      <c r="E27" s="16">
        <v>32.33</v>
      </c>
      <c r="F27" s="16">
        <v>16.0</v>
      </c>
      <c r="G27" s="16">
        <v>28.0</v>
      </c>
      <c r="H27" s="16">
        <v>19.1</v>
      </c>
      <c r="I27" s="16">
        <v>16.0</v>
      </c>
      <c r="J27" s="16">
        <v>30.0</v>
      </c>
      <c r="K27" s="16">
        <v>20.52</v>
      </c>
      <c r="L27" s="16">
        <v>12.0</v>
      </c>
      <c r="M27" s="16">
        <v>26.0</v>
      </c>
      <c r="N27" s="16">
        <v>21.15</v>
      </c>
      <c r="O27" s="16">
        <v>12.0</v>
      </c>
      <c r="P27" s="16">
        <v>30.0</v>
      </c>
      <c r="Q27" s="16">
        <v>21.67</v>
      </c>
      <c r="R27" s="16">
        <v>24.0</v>
      </c>
      <c r="S27" s="16">
        <v>50.0</v>
      </c>
      <c r="T27" s="16">
        <v>32.94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>
        <v>20.0</v>
      </c>
      <c r="AK27" s="16">
        <v>46.0</v>
      </c>
      <c r="AL27" s="17">
        <v>39.56</v>
      </c>
      <c r="AM27" s="18">
        <v>12.0</v>
      </c>
      <c r="AN27" s="19">
        <v>50.0</v>
      </c>
      <c r="AO27" s="20">
        <v>26.752857142857142</v>
      </c>
    </row>
    <row r="28" ht="15.75" customHeight="1">
      <c r="A28" s="21" t="s">
        <v>43</v>
      </c>
      <c r="B28" s="22" t="s">
        <v>19</v>
      </c>
      <c r="C28" s="16">
        <v>14.0</v>
      </c>
      <c r="D28" s="16">
        <v>26.0</v>
      </c>
      <c r="E28" s="16">
        <v>19.05</v>
      </c>
      <c r="F28" s="16">
        <v>12.0</v>
      </c>
      <c r="G28" s="16">
        <v>20.0</v>
      </c>
      <c r="H28" s="16">
        <v>17.24</v>
      </c>
      <c r="I28" s="16">
        <v>14.0</v>
      </c>
      <c r="J28" s="16">
        <v>18.0</v>
      </c>
      <c r="K28" s="16">
        <v>15.99</v>
      </c>
      <c r="L28" s="16">
        <v>18.0</v>
      </c>
      <c r="M28" s="16">
        <v>26.0</v>
      </c>
      <c r="N28" s="16">
        <v>21.32</v>
      </c>
      <c r="O28" s="16">
        <v>20.0</v>
      </c>
      <c r="P28" s="16">
        <v>30.0</v>
      </c>
      <c r="Q28" s="16">
        <v>24.82</v>
      </c>
      <c r="R28" s="16">
        <v>18.0</v>
      </c>
      <c r="S28" s="16">
        <v>30.0</v>
      </c>
      <c r="T28" s="16">
        <v>25.7</v>
      </c>
      <c r="U28" s="16">
        <v>16.0</v>
      </c>
      <c r="V28" s="16">
        <v>30.0</v>
      </c>
      <c r="W28" s="16">
        <v>22.23</v>
      </c>
      <c r="X28" s="16">
        <v>12.0</v>
      </c>
      <c r="Y28" s="16">
        <v>20.0</v>
      </c>
      <c r="Z28" s="16">
        <v>17.61</v>
      </c>
      <c r="AA28" s="16">
        <v>16.0</v>
      </c>
      <c r="AB28" s="16">
        <v>20.0</v>
      </c>
      <c r="AC28" s="16">
        <v>18.1</v>
      </c>
      <c r="AD28" s="16">
        <v>18.0</v>
      </c>
      <c r="AE28" s="16">
        <v>22.0</v>
      </c>
      <c r="AF28" s="16">
        <v>19.47</v>
      </c>
      <c r="AG28" s="16">
        <v>24.0</v>
      </c>
      <c r="AH28" s="16">
        <v>40.0</v>
      </c>
      <c r="AI28" s="16">
        <v>27.92</v>
      </c>
      <c r="AJ28" s="16">
        <v>20.0</v>
      </c>
      <c r="AK28" s="16">
        <v>48.0</v>
      </c>
      <c r="AL28" s="17">
        <v>29.79</v>
      </c>
      <c r="AM28" s="18">
        <v>12.0</v>
      </c>
      <c r="AN28" s="19">
        <v>48.0</v>
      </c>
      <c r="AO28" s="20">
        <v>21.603333333333335</v>
      </c>
    </row>
    <row r="29" ht="15.75" customHeight="1">
      <c r="A29" s="21" t="s">
        <v>44</v>
      </c>
      <c r="B29" s="22" t="s">
        <v>19</v>
      </c>
      <c r="C29" s="16">
        <v>10.0</v>
      </c>
      <c r="D29" s="16">
        <v>46.0</v>
      </c>
      <c r="E29" s="16">
        <v>21.65</v>
      </c>
      <c r="F29" s="16">
        <v>7.0</v>
      </c>
      <c r="G29" s="16">
        <v>20.0</v>
      </c>
      <c r="H29" s="16">
        <v>13.46</v>
      </c>
      <c r="I29" s="16">
        <v>18.0</v>
      </c>
      <c r="J29" s="16">
        <v>44.0</v>
      </c>
      <c r="K29" s="16">
        <v>25.57</v>
      </c>
      <c r="L29" s="16">
        <v>28.0</v>
      </c>
      <c r="M29" s="16">
        <v>45.0</v>
      </c>
      <c r="N29" s="16">
        <v>36.23</v>
      </c>
      <c r="O29" s="16">
        <v>18.0</v>
      </c>
      <c r="P29" s="16">
        <v>40.0</v>
      </c>
      <c r="Q29" s="16">
        <v>30.91</v>
      </c>
      <c r="R29" s="16">
        <v>14.0</v>
      </c>
      <c r="S29" s="16">
        <v>32.0</v>
      </c>
      <c r="T29" s="16">
        <v>21.75</v>
      </c>
      <c r="U29" s="16">
        <v>15.0</v>
      </c>
      <c r="V29" s="16">
        <v>30.0</v>
      </c>
      <c r="W29" s="16">
        <v>21.74</v>
      </c>
      <c r="X29" s="16">
        <v>14.0</v>
      </c>
      <c r="Y29" s="16">
        <v>25.0</v>
      </c>
      <c r="Z29" s="16">
        <v>19.68</v>
      </c>
      <c r="AA29" s="16">
        <v>16.0</v>
      </c>
      <c r="AB29" s="16">
        <v>36.0</v>
      </c>
      <c r="AC29" s="16">
        <v>21.29</v>
      </c>
      <c r="AD29" s="16">
        <v>16.0</v>
      </c>
      <c r="AE29" s="16">
        <v>28.0</v>
      </c>
      <c r="AF29" s="16">
        <v>22.53</v>
      </c>
      <c r="AG29" s="16">
        <v>12.0</v>
      </c>
      <c r="AH29" s="16">
        <v>30.0</v>
      </c>
      <c r="AI29" s="16">
        <v>19.15</v>
      </c>
      <c r="AJ29" s="16">
        <v>4.0</v>
      </c>
      <c r="AK29" s="16">
        <v>22.0</v>
      </c>
      <c r="AL29" s="17">
        <v>12.02</v>
      </c>
      <c r="AM29" s="18">
        <v>4.0</v>
      </c>
      <c r="AN29" s="19">
        <v>46.0</v>
      </c>
      <c r="AO29" s="20">
        <v>22.165</v>
      </c>
    </row>
    <row r="30" ht="15.75" customHeight="1">
      <c r="A30" s="21" t="s">
        <v>45</v>
      </c>
      <c r="B30" s="22" t="s">
        <v>19</v>
      </c>
      <c r="C30" s="16">
        <v>24.0</v>
      </c>
      <c r="D30" s="16">
        <v>30.0</v>
      </c>
      <c r="E30" s="16">
        <v>28.13</v>
      </c>
      <c r="F30" s="16">
        <v>20.0</v>
      </c>
      <c r="G30" s="16">
        <v>32.0</v>
      </c>
      <c r="H30" s="16">
        <v>27.46</v>
      </c>
      <c r="I30" s="16">
        <v>25.0</v>
      </c>
      <c r="J30" s="16">
        <v>30.0</v>
      </c>
      <c r="K30" s="16">
        <v>28.62</v>
      </c>
      <c r="L30" s="16"/>
      <c r="M30" s="16"/>
      <c r="N30" s="16"/>
      <c r="O30" s="16"/>
      <c r="P30" s="16"/>
      <c r="Q30" s="16"/>
      <c r="R30" s="16">
        <v>35.0</v>
      </c>
      <c r="S30" s="16">
        <v>40.0</v>
      </c>
      <c r="T30" s="16">
        <v>37.78</v>
      </c>
      <c r="U30" s="16">
        <v>25.0</v>
      </c>
      <c r="V30" s="16">
        <v>35.0</v>
      </c>
      <c r="W30" s="16">
        <v>28.8</v>
      </c>
      <c r="X30" s="16">
        <v>20.0</v>
      </c>
      <c r="Y30" s="16">
        <v>30.0</v>
      </c>
      <c r="Z30" s="16">
        <v>24.2</v>
      </c>
      <c r="AA30" s="16">
        <v>20.0</v>
      </c>
      <c r="AB30" s="16">
        <v>30.0</v>
      </c>
      <c r="AC30" s="16">
        <v>26.19</v>
      </c>
      <c r="AD30" s="16">
        <v>24.0</v>
      </c>
      <c r="AE30" s="16">
        <v>30.0</v>
      </c>
      <c r="AF30" s="16">
        <v>27.81</v>
      </c>
      <c r="AG30" s="16">
        <v>24.0</v>
      </c>
      <c r="AH30" s="16">
        <v>30.0</v>
      </c>
      <c r="AI30" s="16">
        <v>27.61</v>
      </c>
      <c r="AJ30" s="16">
        <v>25.0</v>
      </c>
      <c r="AK30" s="16">
        <v>35.0</v>
      </c>
      <c r="AL30" s="17">
        <v>29.24</v>
      </c>
      <c r="AM30" s="18">
        <v>20.0</v>
      </c>
      <c r="AN30" s="19">
        <v>40.0</v>
      </c>
      <c r="AO30" s="20">
        <v>28.584000000000003</v>
      </c>
    </row>
    <row r="31" ht="15.75" customHeight="1">
      <c r="A31" s="21" t="s">
        <v>46</v>
      </c>
      <c r="B31" s="22" t="s">
        <v>19</v>
      </c>
      <c r="C31" s="16">
        <v>16.0</v>
      </c>
      <c r="D31" s="16">
        <v>50.0</v>
      </c>
      <c r="E31" s="16">
        <v>33.15</v>
      </c>
      <c r="F31" s="16">
        <v>12.0</v>
      </c>
      <c r="G31" s="16">
        <v>36.0</v>
      </c>
      <c r="H31" s="16">
        <v>21.56</v>
      </c>
      <c r="I31" s="16">
        <v>18.0</v>
      </c>
      <c r="J31" s="16">
        <v>58.0</v>
      </c>
      <c r="K31" s="16">
        <v>31.36</v>
      </c>
      <c r="L31" s="16">
        <v>18.0</v>
      </c>
      <c r="M31" s="16">
        <v>44.0</v>
      </c>
      <c r="N31" s="16">
        <v>27.97</v>
      </c>
      <c r="O31" s="16">
        <v>18.0</v>
      </c>
      <c r="P31" s="16">
        <v>45.0</v>
      </c>
      <c r="Q31" s="16">
        <v>32.01</v>
      </c>
      <c r="R31" s="16">
        <v>24.0</v>
      </c>
      <c r="S31" s="16">
        <v>55.0</v>
      </c>
      <c r="T31" s="16">
        <v>39.13</v>
      </c>
      <c r="U31" s="16">
        <v>22.0</v>
      </c>
      <c r="V31" s="16">
        <v>50.0</v>
      </c>
      <c r="W31" s="16">
        <v>35.69</v>
      </c>
      <c r="X31" s="16">
        <v>25.0</v>
      </c>
      <c r="Y31" s="16">
        <v>60.0</v>
      </c>
      <c r="Z31" s="16">
        <v>41.56</v>
      </c>
      <c r="AA31" s="16">
        <v>55.0</v>
      </c>
      <c r="AB31" s="16">
        <v>150.0</v>
      </c>
      <c r="AC31" s="16">
        <v>86.33</v>
      </c>
      <c r="AD31" s="16">
        <v>60.0</v>
      </c>
      <c r="AE31" s="16">
        <v>120.0</v>
      </c>
      <c r="AF31" s="16">
        <v>83.44</v>
      </c>
      <c r="AG31" s="16">
        <v>50.0</v>
      </c>
      <c r="AH31" s="16">
        <v>100.0</v>
      </c>
      <c r="AI31" s="16">
        <v>72.26</v>
      </c>
      <c r="AJ31" s="16">
        <v>40.0</v>
      </c>
      <c r="AK31" s="16">
        <v>70.0</v>
      </c>
      <c r="AL31" s="17">
        <v>53.65</v>
      </c>
      <c r="AM31" s="18">
        <v>12.0</v>
      </c>
      <c r="AN31" s="19">
        <v>150.0</v>
      </c>
      <c r="AO31" s="20">
        <v>46.50916666666666</v>
      </c>
    </row>
    <row r="32" ht="15.75" customHeight="1">
      <c r="A32" s="21" t="s">
        <v>47</v>
      </c>
      <c r="B32" s="22" t="s">
        <v>19</v>
      </c>
      <c r="C32" s="16">
        <v>65.0</v>
      </c>
      <c r="D32" s="16">
        <v>70.0</v>
      </c>
      <c r="E32" s="16">
        <v>67.5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28.0</v>
      </c>
      <c r="V32" s="16">
        <v>40.0</v>
      </c>
      <c r="W32" s="16">
        <v>35.93</v>
      </c>
      <c r="X32" s="16">
        <v>18.0</v>
      </c>
      <c r="Y32" s="16">
        <v>35.0</v>
      </c>
      <c r="Z32" s="16">
        <v>24.39</v>
      </c>
      <c r="AA32" s="16">
        <v>16.0</v>
      </c>
      <c r="AB32" s="16">
        <v>35.0</v>
      </c>
      <c r="AC32" s="16">
        <v>26.7</v>
      </c>
      <c r="AD32" s="16"/>
      <c r="AE32" s="16"/>
      <c r="AF32" s="16"/>
      <c r="AG32" s="16">
        <v>20.0</v>
      </c>
      <c r="AH32" s="16">
        <v>25.0</v>
      </c>
      <c r="AI32" s="16">
        <v>23.06</v>
      </c>
      <c r="AJ32" s="16"/>
      <c r="AK32" s="16"/>
      <c r="AL32" s="17"/>
      <c r="AM32" s="18">
        <v>16.0</v>
      </c>
      <c r="AN32" s="19">
        <v>70.0</v>
      </c>
      <c r="AO32" s="20">
        <v>35.516000000000005</v>
      </c>
    </row>
    <row r="33" ht="15.75" customHeight="1">
      <c r="A33" s="21" t="s">
        <v>48</v>
      </c>
      <c r="B33" s="22" t="s">
        <v>19</v>
      </c>
      <c r="C33" s="16">
        <v>28.0</v>
      </c>
      <c r="D33" s="16">
        <v>45.0</v>
      </c>
      <c r="E33" s="16">
        <v>33.25</v>
      </c>
      <c r="F33" s="16">
        <v>36.0</v>
      </c>
      <c r="G33" s="16">
        <v>48.0</v>
      </c>
      <c r="H33" s="16">
        <v>40.83</v>
      </c>
      <c r="I33" s="16"/>
      <c r="J33" s="16"/>
      <c r="K33" s="16"/>
      <c r="L33" s="16"/>
      <c r="M33" s="16"/>
      <c r="N33" s="16"/>
      <c r="O33" s="16"/>
      <c r="P33" s="16"/>
      <c r="Q33" s="16"/>
      <c r="R33" s="16">
        <v>30.0</v>
      </c>
      <c r="S33" s="16">
        <v>65.0</v>
      </c>
      <c r="T33" s="16">
        <v>47.61</v>
      </c>
      <c r="U33" s="16">
        <v>10.0</v>
      </c>
      <c r="V33" s="16">
        <v>24.0</v>
      </c>
      <c r="W33" s="16">
        <v>16.3</v>
      </c>
      <c r="X33" s="16">
        <v>22.0</v>
      </c>
      <c r="Y33" s="16">
        <v>40.0</v>
      </c>
      <c r="Z33" s="16">
        <v>33.93</v>
      </c>
      <c r="AA33" s="16">
        <v>20.0</v>
      </c>
      <c r="AB33" s="16">
        <v>30.0</v>
      </c>
      <c r="AC33" s="16">
        <v>23.83</v>
      </c>
      <c r="AD33" s="16">
        <v>18.0</v>
      </c>
      <c r="AE33" s="16">
        <v>26.0</v>
      </c>
      <c r="AF33" s="16">
        <v>23.0</v>
      </c>
      <c r="AG33" s="16">
        <v>16.0</v>
      </c>
      <c r="AH33" s="16">
        <v>40.0</v>
      </c>
      <c r="AI33" s="16">
        <v>27.73</v>
      </c>
      <c r="AJ33" s="16">
        <v>20.0</v>
      </c>
      <c r="AK33" s="16">
        <v>36.0</v>
      </c>
      <c r="AL33" s="17">
        <v>26.03</v>
      </c>
      <c r="AM33" s="18">
        <v>10.0</v>
      </c>
      <c r="AN33" s="19">
        <v>65.0</v>
      </c>
      <c r="AO33" s="20">
        <v>30.278888888888886</v>
      </c>
    </row>
    <row r="34" ht="15.75" customHeight="1">
      <c r="A34" s="14" t="s">
        <v>49</v>
      </c>
      <c r="B34" s="22" t="s">
        <v>19</v>
      </c>
      <c r="C34" s="16">
        <v>38.0</v>
      </c>
      <c r="D34" s="16">
        <v>42.0</v>
      </c>
      <c r="E34" s="16">
        <v>39.5</v>
      </c>
      <c r="F34" s="16"/>
      <c r="G34" s="16"/>
      <c r="H34" s="16"/>
      <c r="I34" s="16">
        <v>30.0</v>
      </c>
      <c r="J34" s="16">
        <v>35.0</v>
      </c>
      <c r="K34" s="16">
        <v>32.83</v>
      </c>
      <c r="L34" s="16">
        <v>20.0</v>
      </c>
      <c r="M34" s="16">
        <v>38.0</v>
      </c>
      <c r="N34" s="16">
        <v>31.4</v>
      </c>
      <c r="O34" s="16">
        <v>22.0</v>
      </c>
      <c r="P34" s="16">
        <v>32.0</v>
      </c>
      <c r="Q34" s="16">
        <v>27.28</v>
      </c>
      <c r="R34" s="16">
        <v>20.0</v>
      </c>
      <c r="S34" s="16">
        <v>35.0</v>
      </c>
      <c r="T34" s="16">
        <v>27.31</v>
      </c>
      <c r="U34" s="16">
        <v>28.0</v>
      </c>
      <c r="V34" s="16">
        <v>38.0</v>
      </c>
      <c r="W34" s="16">
        <v>34.28</v>
      </c>
      <c r="X34" s="16">
        <v>30.0</v>
      </c>
      <c r="Y34" s="16">
        <v>40.0</v>
      </c>
      <c r="Z34" s="16">
        <v>34.77</v>
      </c>
      <c r="AA34" s="16">
        <v>28.0</v>
      </c>
      <c r="AB34" s="16">
        <v>40.0</v>
      </c>
      <c r="AC34" s="16">
        <v>34.07</v>
      </c>
      <c r="AD34" s="16">
        <v>30.0</v>
      </c>
      <c r="AE34" s="16">
        <v>42.0</v>
      </c>
      <c r="AF34" s="16">
        <v>36.89</v>
      </c>
      <c r="AG34" s="16">
        <v>26.0</v>
      </c>
      <c r="AH34" s="16">
        <v>40.0</v>
      </c>
      <c r="AI34" s="16">
        <v>30.09</v>
      </c>
      <c r="AJ34" s="16">
        <v>24.0</v>
      </c>
      <c r="AK34" s="16">
        <v>40.0</v>
      </c>
      <c r="AL34" s="17">
        <v>32.36</v>
      </c>
      <c r="AM34" s="18">
        <v>20.0</v>
      </c>
      <c r="AN34" s="19">
        <v>42.0</v>
      </c>
      <c r="AO34" s="20">
        <v>32.79818181818182</v>
      </c>
    </row>
    <row r="35" ht="15.75" customHeight="1">
      <c r="A35" s="14" t="s">
        <v>50</v>
      </c>
      <c r="B35" s="22" t="s">
        <v>19</v>
      </c>
      <c r="C35" s="16">
        <v>16.0</v>
      </c>
      <c r="D35" s="16">
        <v>35.0</v>
      </c>
      <c r="E35" s="16">
        <v>24.31</v>
      </c>
      <c r="F35" s="16">
        <v>24.0</v>
      </c>
      <c r="G35" s="16">
        <v>40.0</v>
      </c>
      <c r="H35" s="16">
        <v>31.77</v>
      </c>
      <c r="I35" s="16">
        <v>22.0</v>
      </c>
      <c r="J35" s="16">
        <v>35.0</v>
      </c>
      <c r="K35" s="16">
        <v>27.7</v>
      </c>
      <c r="L35" s="16">
        <v>18.0</v>
      </c>
      <c r="M35" s="16">
        <v>38.0</v>
      </c>
      <c r="N35" s="16">
        <v>30.25</v>
      </c>
      <c r="O35" s="16">
        <v>12.0</v>
      </c>
      <c r="P35" s="16">
        <v>26.0</v>
      </c>
      <c r="Q35" s="16">
        <v>17.72</v>
      </c>
      <c r="R35" s="16">
        <v>6.0</v>
      </c>
      <c r="S35" s="16">
        <v>16.0</v>
      </c>
      <c r="T35" s="16">
        <v>10.94</v>
      </c>
      <c r="U35" s="16">
        <v>4.0</v>
      </c>
      <c r="V35" s="16">
        <v>14.0</v>
      </c>
      <c r="W35" s="16">
        <v>7.83</v>
      </c>
      <c r="X35" s="16">
        <v>6.0</v>
      </c>
      <c r="Y35" s="16">
        <v>12.0</v>
      </c>
      <c r="Z35" s="16">
        <v>8.42</v>
      </c>
      <c r="AA35" s="16">
        <v>10.0</v>
      </c>
      <c r="AB35" s="16">
        <v>36.0</v>
      </c>
      <c r="AC35" s="16">
        <v>15.83</v>
      </c>
      <c r="AD35" s="16">
        <v>20.0</v>
      </c>
      <c r="AE35" s="16">
        <v>35.0</v>
      </c>
      <c r="AF35" s="16">
        <v>28.35</v>
      </c>
      <c r="AG35" s="16">
        <v>20.0</v>
      </c>
      <c r="AH35" s="16">
        <v>30.0</v>
      </c>
      <c r="AI35" s="16">
        <v>25.16</v>
      </c>
      <c r="AJ35" s="16">
        <v>18.0</v>
      </c>
      <c r="AK35" s="16">
        <v>26.0</v>
      </c>
      <c r="AL35" s="17">
        <v>20.65</v>
      </c>
      <c r="AM35" s="18">
        <v>4.0</v>
      </c>
      <c r="AN35" s="19">
        <v>40.0</v>
      </c>
      <c r="AO35" s="20">
        <v>20.74416666666667</v>
      </c>
    </row>
    <row r="36" ht="15.75" customHeight="1">
      <c r="A36" s="21" t="s">
        <v>51</v>
      </c>
      <c r="B36" s="22" t="s">
        <v>19</v>
      </c>
      <c r="C36" s="16">
        <v>25.0</v>
      </c>
      <c r="D36" s="16">
        <v>40.0</v>
      </c>
      <c r="E36" s="16">
        <v>27.92</v>
      </c>
      <c r="F36" s="16">
        <v>18.0</v>
      </c>
      <c r="G36" s="16">
        <v>35.0</v>
      </c>
      <c r="H36" s="16">
        <v>24.96</v>
      </c>
      <c r="I36" s="16">
        <v>18.0</v>
      </c>
      <c r="J36" s="16">
        <v>28.0</v>
      </c>
      <c r="K36" s="16">
        <v>20.82</v>
      </c>
      <c r="L36" s="16">
        <v>24.0</v>
      </c>
      <c r="M36" s="16">
        <v>45.0</v>
      </c>
      <c r="N36" s="16">
        <v>36.68</v>
      </c>
      <c r="O36" s="16">
        <v>30.0</v>
      </c>
      <c r="P36" s="16">
        <v>60.0</v>
      </c>
      <c r="Q36" s="16">
        <v>42.82</v>
      </c>
      <c r="R36" s="16">
        <v>30.0</v>
      </c>
      <c r="S36" s="16">
        <v>60.0</v>
      </c>
      <c r="T36" s="16">
        <v>44.24</v>
      </c>
      <c r="U36" s="16">
        <v>20.0</v>
      </c>
      <c r="V36" s="16">
        <v>35.0</v>
      </c>
      <c r="W36" s="16">
        <v>24.38</v>
      </c>
      <c r="X36" s="16">
        <v>18.0</v>
      </c>
      <c r="Y36" s="16">
        <v>25.0</v>
      </c>
      <c r="Z36" s="16">
        <v>21.97</v>
      </c>
      <c r="AA36" s="16">
        <v>20.0</v>
      </c>
      <c r="AB36" s="16">
        <v>30.0</v>
      </c>
      <c r="AC36" s="16">
        <v>25.8</v>
      </c>
      <c r="AD36" s="16">
        <v>18.0</v>
      </c>
      <c r="AE36" s="16">
        <v>35.0</v>
      </c>
      <c r="AF36" s="16">
        <v>23.27</v>
      </c>
      <c r="AG36" s="16">
        <v>12.0</v>
      </c>
      <c r="AH36" s="16">
        <v>20.0</v>
      </c>
      <c r="AI36" s="16">
        <v>15.42</v>
      </c>
      <c r="AJ36" s="16">
        <v>15.0</v>
      </c>
      <c r="AK36" s="16">
        <v>45.0</v>
      </c>
      <c r="AL36" s="17">
        <v>24.97</v>
      </c>
      <c r="AM36" s="18">
        <v>12.0</v>
      </c>
      <c r="AN36" s="19">
        <v>60.0</v>
      </c>
      <c r="AO36" s="20">
        <v>27.770833333333332</v>
      </c>
    </row>
    <row r="37" ht="15.75" customHeight="1">
      <c r="A37" s="14" t="s">
        <v>52</v>
      </c>
      <c r="B37" s="22" t="s">
        <v>19</v>
      </c>
      <c r="C37" s="16">
        <v>16.0</v>
      </c>
      <c r="D37" s="16">
        <v>40.0</v>
      </c>
      <c r="E37" s="16">
        <v>30.43</v>
      </c>
      <c r="F37" s="16">
        <v>18.0</v>
      </c>
      <c r="G37" s="16">
        <v>40.0</v>
      </c>
      <c r="H37" s="16">
        <v>29.41</v>
      </c>
      <c r="I37" s="16">
        <v>18.0</v>
      </c>
      <c r="J37" s="16">
        <v>32.0</v>
      </c>
      <c r="K37" s="16">
        <v>28.07</v>
      </c>
      <c r="L37" s="16">
        <v>30.0</v>
      </c>
      <c r="M37" s="16">
        <v>45.0</v>
      </c>
      <c r="N37" s="16">
        <v>39.01</v>
      </c>
      <c r="O37" s="16">
        <v>35.0</v>
      </c>
      <c r="P37" s="16">
        <v>60.0</v>
      </c>
      <c r="Q37" s="16">
        <v>46.35</v>
      </c>
      <c r="R37" s="16">
        <v>30.0</v>
      </c>
      <c r="S37" s="16">
        <v>60.0</v>
      </c>
      <c r="T37" s="16">
        <v>50.87</v>
      </c>
      <c r="U37" s="16">
        <v>20.0</v>
      </c>
      <c r="V37" s="16">
        <v>40.0</v>
      </c>
      <c r="W37" s="16">
        <v>30.28</v>
      </c>
      <c r="X37" s="16">
        <v>20.0</v>
      </c>
      <c r="Y37" s="16">
        <v>45.0</v>
      </c>
      <c r="Z37" s="16">
        <v>28.62</v>
      </c>
      <c r="AA37" s="16">
        <v>25.0</v>
      </c>
      <c r="AB37" s="16">
        <v>40.0</v>
      </c>
      <c r="AC37" s="16">
        <v>33.23</v>
      </c>
      <c r="AD37" s="16">
        <v>20.0</v>
      </c>
      <c r="AE37" s="16">
        <v>45.0</v>
      </c>
      <c r="AF37" s="16">
        <v>31.44</v>
      </c>
      <c r="AG37" s="16">
        <v>18.0</v>
      </c>
      <c r="AH37" s="16">
        <v>30.0</v>
      </c>
      <c r="AI37" s="16">
        <v>23.23</v>
      </c>
      <c r="AJ37" s="16">
        <v>25.0</v>
      </c>
      <c r="AK37" s="16">
        <v>45.0</v>
      </c>
      <c r="AL37" s="17">
        <v>33.69</v>
      </c>
      <c r="AM37" s="18">
        <v>16.0</v>
      </c>
      <c r="AN37" s="19">
        <v>60.0</v>
      </c>
      <c r="AO37" s="20">
        <v>33.719166666666666</v>
      </c>
    </row>
    <row r="38" ht="15.75" customHeight="1">
      <c r="A38" s="21" t="s">
        <v>53</v>
      </c>
      <c r="B38" s="22" t="s">
        <v>19</v>
      </c>
      <c r="C38" s="16">
        <v>28.0</v>
      </c>
      <c r="D38" s="16">
        <v>42.0</v>
      </c>
      <c r="E38" s="16">
        <v>32.58</v>
      </c>
      <c r="F38" s="16">
        <v>25.0</v>
      </c>
      <c r="G38" s="16">
        <v>40.0</v>
      </c>
      <c r="H38" s="16">
        <v>31.76</v>
      </c>
      <c r="I38" s="16">
        <v>28.0</v>
      </c>
      <c r="J38" s="16">
        <v>45.0</v>
      </c>
      <c r="K38" s="16">
        <v>37.49</v>
      </c>
      <c r="L38" s="16">
        <v>40.0</v>
      </c>
      <c r="M38" s="16">
        <v>55.0</v>
      </c>
      <c r="N38" s="16">
        <v>47.16</v>
      </c>
      <c r="O38" s="16">
        <v>45.0</v>
      </c>
      <c r="P38" s="16">
        <v>60.0</v>
      </c>
      <c r="Q38" s="16">
        <v>54.24</v>
      </c>
      <c r="R38" s="16">
        <v>35.0</v>
      </c>
      <c r="S38" s="16">
        <v>60.0</v>
      </c>
      <c r="T38" s="16">
        <v>52.94</v>
      </c>
      <c r="U38" s="16">
        <v>25.0</v>
      </c>
      <c r="V38" s="16">
        <v>45.0</v>
      </c>
      <c r="W38" s="16">
        <v>35.58</v>
      </c>
      <c r="X38" s="16">
        <v>30.0</v>
      </c>
      <c r="Y38" s="16">
        <v>65.0</v>
      </c>
      <c r="Z38" s="16">
        <v>49.68</v>
      </c>
      <c r="AA38" s="16">
        <v>30.0</v>
      </c>
      <c r="AB38" s="16">
        <v>50.0</v>
      </c>
      <c r="AC38" s="16">
        <v>38.12</v>
      </c>
      <c r="AD38" s="16">
        <v>20.0</v>
      </c>
      <c r="AE38" s="16">
        <v>45.0</v>
      </c>
      <c r="AF38" s="16">
        <v>33.38</v>
      </c>
      <c r="AG38" s="16">
        <v>20.0</v>
      </c>
      <c r="AH38" s="16">
        <v>40.0</v>
      </c>
      <c r="AI38" s="16">
        <v>25.7</v>
      </c>
      <c r="AJ38" s="16">
        <v>20.0</v>
      </c>
      <c r="AK38" s="16">
        <v>50.0</v>
      </c>
      <c r="AL38" s="17">
        <v>41.25</v>
      </c>
      <c r="AM38" s="18">
        <v>20.0</v>
      </c>
      <c r="AN38" s="19">
        <v>65.0</v>
      </c>
      <c r="AO38" s="20">
        <v>39.99</v>
      </c>
    </row>
    <row r="39" ht="15.75" customHeight="1">
      <c r="A39" s="14" t="s">
        <v>54</v>
      </c>
      <c r="B39" s="22" t="s">
        <v>19</v>
      </c>
      <c r="C39" s="16">
        <v>25.0</v>
      </c>
      <c r="D39" s="16">
        <v>35.0</v>
      </c>
      <c r="E39" s="16">
        <v>28.93</v>
      </c>
      <c r="F39" s="16">
        <v>15.0</v>
      </c>
      <c r="G39" s="16">
        <v>35.0</v>
      </c>
      <c r="H39" s="16">
        <v>25.59</v>
      </c>
      <c r="I39" s="16">
        <v>16.0</v>
      </c>
      <c r="J39" s="16">
        <v>40.0</v>
      </c>
      <c r="K39" s="16">
        <v>23.11</v>
      </c>
      <c r="L39" s="16">
        <v>25.0</v>
      </c>
      <c r="M39" s="16">
        <v>45.0</v>
      </c>
      <c r="N39" s="16">
        <v>36.18</v>
      </c>
      <c r="O39" s="16">
        <v>30.0</v>
      </c>
      <c r="P39" s="16">
        <v>60.0</v>
      </c>
      <c r="Q39" s="16">
        <v>41.16</v>
      </c>
      <c r="R39" s="16">
        <v>30.0</v>
      </c>
      <c r="S39" s="16">
        <v>55.0</v>
      </c>
      <c r="T39" s="16">
        <v>43.97</v>
      </c>
      <c r="U39" s="16">
        <v>20.0</v>
      </c>
      <c r="V39" s="16">
        <v>35.0</v>
      </c>
      <c r="W39" s="16">
        <v>24.83</v>
      </c>
      <c r="X39" s="16">
        <v>20.0</v>
      </c>
      <c r="Y39" s="16">
        <v>45.0</v>
      </c>
      <c r="Z39" s="16">
        <v>36.94</v>
      </c>
      <c r="AA39" s="16">
        <v>30.0</v>
      </c>
      <c r="AB39" s="16">
        <v>50.0</v>
      </c>
      <c r="AC39" s="16">
        <v>35.71</v>
      </c>
      <c r="AD39" s="16">
        <v>20.0</v>
      </c>
      <c r="AE39" s="16">
        <v>40.0</v>
      </c>
      <c r="AF39" s="16">
        <v>31.82</v>
      </c>
      <c r="AG39" s="16">
        <v>18.0</v>
      </c>
      <c r="AH39" s="16">
        <v>30.0</v>
      </c>
      <c r="AI39" s="16">
        <v>20.96</v>
      </c>
      <c r="AJ39" s="16">
        <v>20.0</v>
      </c>
      <c r="AK39" s="16">
        <v>45.0</v>
      </c>
      <c r="AL39" s="17">
        <v>28.68</v>
      </c>
      <c r="AM39" s="18">
        <v>15.0</v>
      </c>
      <c r="AN39" s="19">
        <v>60.0</v>
      </c>
      <c r="AO39" s="20">
        <v>31.49</v>
      </c>
    </row>
    <row r="40" ht="15.75" customHeight="1">
      <c r="A40" s="21" t="s">
        <v>55</v>
      </c>
      <c r="B40" s="22" t="s">
        <v>19</v>
      </c>
      <c r="C40" s="16">
        <v>28.0</v>
      </c>
      <c r="D40" s="16">
        <v>40.0</v>
      </c>
      <c r="E40" s="16">
        <v>32.2</v>
      </c>
      <c r="F40" s="16">
        <v>25.0</v>
      </c>
      <c r="G40" s="16">
        <v>40.0</v>
      </c>
      <c r="H40" s="16">
        <v>31.03</v>
      </c>
      <c r="I40" s="16">
        <v>25.0</v>
      </c>
      <c r="J40" s="16">
        <v>45.0</v>
      </c>
      <c r="K40" s="16">
        <v>34.79</v>
      </c>
      <c r="L40" s="16">
        <v>40.0</v>
      </c>
      <c r="M40" s="16">
        <v>60.0</v>
      </c>
      <c r="N40" s="16">
        <v>49.17</v>
      </c>
      <c r="O40" s="16"/>
      <c r="P40" s="16"/>
      <c r="Q40" s="16"/>
      <c r="R40" s="16">
        <v>35.0</v>
      </c>
      <c r="S40" s="16">
        <v>55.0</v>
      </c>
      <c r="T40" s="16">
        <v>41.25</v>
      </c>
      <c r="U40" s="16">
        <v>30.0</v>
      </c>
      <c r="V40" s="16">
        <v>45.0</v>
      </c>
      <c r="W40" s="16">
        <v>35.52</v>
      </c>
      <c r="X40" s="16">
        <v>30.0</v>
      </c>
      <c r="Y40" s="16">
        <v>45.0</v>
      </c>
      <c r="Z40" s="16">
        <v>37.6</v>
      </c>
      <c r="AA40" s="16">
        <v>30.0</v>
      </c>
      <c r="AB40" s="16">
        <v>45.0</v>
      </c>
      <c r="AC40" s="16">
        <v>37.64</v>
      </c>
      <c r="AD40" s="16">
        <v>25.0</v>
      </c>
      <c r="AE40" s="16">
        <v>45.0</v>
      </c>
      <c r="AF40" s="16">
        <v>34.62</v>
      </c>
      <c r="AG40" s="16">
        <v>20.0</v>
      </c>
      <c r="AH40" s="16">
        <v>35.0</v>
      </c>
      <c r="AI40" s="16">
        <v>26.76</v>
      </c>
      <c r="AJ40" s="16">
        <v>30.0</v>
      </c>
      <c r="AK40" s="16">
        <v>45.0</v>
      </c>
      <c r="AL40" s="17">
        <v>35.62</v>
      </c>
      <c r="AM40" s="18">
        <v>20.0</v>
      </c>
      <c r="AN40" s="19">
        <v>60.0</v>
      </c>
      <c r="AO40" s="20">
        <v>36.018181818181816</v>
      </c>
    </row>
    <row r="41" ht="15.75" customHeight="1">
      <c r="A41" s="21" t="s">
        <v>56</v>
      </c>
      <c r="B41" s="22" t="s">
        <v>19</v>
      </c>
      <c r="C41" s="16">
        <v>18.0</v>
      </c>
      <c r="D41" s="16">
        <v>60.0</v>
      </c>
      <c r="E41" s="16">
        <v>29.57</v>
      </c>
      <c r="F41" s="16">
        <v>25.0</v>
      </c>
      <c r="G41" s="16">
        <v>35.0</v>
      </c>
      <c r="H41" s="16">
        <v>30.43</v>
      </c>
      <c r="I41" s="16">
        <v>30.0</v>
      </c>
      <c r="J41" s="16">
        <v>45.0</v>
      </c>
      <c r="K41" s="16">
        <v>37.12</v>
      </c>
      <c r="L41" s="16">
        <v>35.0</v>
      </c>
      <c r="M41" s="16">
        <v>50.0</v>
      </c>
      <c r="N41" s="16">
        <v>41.57</v>
      </c>
      <c r="O41" s="16">
        <v>35.0</v>
      </c>
      <c r="P41" s="16">
        <v>60.0</v>
      </c>
      <c r="Q41" s="16">
        <v>46.29</v>
      </c>
      <c r="R41" s="16">
        <v>35.0</v>
      </c>
      <c r="S41" s="16">
        <v>65.0</v>
      </c>
      <c r="T41" s="16">
        <v>53.5</v>
      </c>
      <c r="U41" s="16">
        <v>30.0</v>
      </c>
      <c r="V41" s="16">
        <v>50.0</v>
      </c>
      <c r="W41" s="16">
        <v>39.1</v>
      </c>
      <c r="X41" s="16">
        <v>35.0</v>
      </c>
      <c r="Y41" s="16">
        <v>50.0</v>
      </c>
      <c r="Z41" s="16">
        <v>41.83</v>
      </c>
      <c r="AA41" s="16">
        <v>30.0</v>
      </c>
      <c r="AB41" s="16">
        <v>50.0</v>
      </c>
      <c r="AC41" s="16">
        <v>43.92</v>
      </c>
      <c r="AD41" s="16">
        <v>45.0</v>
      </c>
      <c r="AE41" s="16">
        <v>80.0</v>
      </c>
      <c r="AF41" s="16">
        <v>60.76</v>
      </c>
      <c r="AG41" s="16">
        <v>25.0</v>
      </c>
      <c r="AH41" s="16">
        <v>65.0</v>
      </c>
      <c r="AI41" s="16">
        <v>48.27</v>
      </c>
      <c r="AJ41" s="16">
        <v>25.0</v>
      </c>
      <c r="AK41" s="16">
        <v>50.0</v>
      </c>
      <c r="AL41" s="17">
        <v>37.51</v>
      </c>
      <c r="AM41" s="18">
        <v>18.0</v>
      </c>
      <c r="AN41" s="19">
        <v>80.0</v>
      </c>
      <c r="AO41" s="20">
        <v>42.48916666666666</v>
      </c>
    </row>
    <row r="42" ht="15.75" customHeight="1">
      <c r="A42" s="21" t="s">
        <v>57</v>
      </c>
      <c r="B42" s="22" t="s">
        <v>19</v>
      </c>
      <c r="C42" s="16">
        <v>25.0</v>
      </c>
      <c r="D42" s="16">
        <v>38.0</v>
      </c>
      <c r="E42" s="16">
        <v>31.3</v>
      </c>
      <c r="F42" s="16"/>
      <c r="G42" s="16"/>
      <c r="H42" s="16"/>
      <c r="I42" s="16"/>
      <c r="J42" s="16"/>
      <c r="K42" s="16"/>
      <c r="L42" s="16">
        <v>40.0</v>
      </c>
      <c r="M42" s="16">
        <v>45.0</v>
      </c>
      <c r="N42" s="16">
        <v>41.67</v>
      </c>
      <c r="O42" s="16"/>
      <c r="P42" s="16"/>
      <c r="Q42" s="16"/>
      <c r="R42" s="16"/>
      <c r="S42" s="16"/>
      <c r="T42" s="16"/>
      <c r="U42" s="16">
        <v>50.0</v>
      </c>
      <c r="V42" s="16">
        <v>60.0</v>
      </c>
      <c r="W42" s="16">
        <v>55.0</v>
      </c>
      <c r="X42" s="16">
        <v>40.0</v>
      </c>
      <c r="Y42" s="16">
        <v>62.0</v>
      </c>
      <c r="Z42" s="16">
        <v>52.59</v>
      </c>
      <c r="AA42" s="16">
        <v>30.0</v>
      </c>
      <c r="AB42" s="16">
        <v>50.0</v>
      </c>
      <c r="AC42" s="16">
        <v>38.5</v>
      </c>
      <c r="AD42" s="16">
        <v>30.0</v>
      </c>
      <c r="AE42" s="16">
        <v>50.0</v>
      </c>
      <c r="AF42" s="16">
        <v>38.48</v>
      </c>
      <c r="AG42" s="16">
        <v>24.0</v>
      </c>
      <c r="AH42" s="16">
        <v>40.0</v>
      </c>
      <c r="AI42" s="16">
        <v>30.97</v>
      </c>
      <c r="AJ42" s="16">
        <v>14.0</v>
      </c>
      <c r="AK42" s="16">
        <v>30.0</v>
      </c>
      <c r="AL42" s="17">
        <v>21.57</v>
      </c>
      <c r="AM42" s="18">
        <v>14.0</v>
      </c>
      <c r="AN42" s="19">
        <v>62.0</v>
      </c>
      <c r="AO42" s="20">
        <v>38.76</v>
      </c>
    </row>
    <row r="43" ht="15.75" customHeight="1">
      <c r="A43" s="21" t="s">
        <v>58</v>
      </c>
      <c r="B43" s="22" t="s">
        <v>19</v>
      </c>
      <c r="C43" s="16">
        <v>22.0</v>
      </c>
      <c r="D43" s="16">
        <v>26.0</v>
      </c>
      <c r="E43" s="16">
        <v>24.73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>
        <v>35.0</v>
      </c>
      <c r="S43" s="16">
        <v>40.0</v>
      </c>
      <c r="T43" s="16">
        <v>37.8</v>
      </c>
      <c r="U43" s="16">
        <v>20.0</v>
      </c>
      <c r="V43" s="16">
        <v>34.0</v>
      </c>
      <c r="W43" s="16">
        <v>27.28</v>
      </c>
      <c r="X43" s="16">
        <v>16.0</v>
      </c>
      <c r="Y43" s="16">
        <v>24.0</v>
      </c>
      <c r="Z43" s="16">
        <v>19.93</v>
      </c>
      <c r="AA43" s="16">
        <v>12.0</v>
      </c>
      <c r="AB43" s="16">
        <v>30.0</v>
      </c>
      <c r="AC43" s="16">
        <v>17.75</v>
      </c>
      <c r="AD43" s="16">
        <v>16.0</v>
      </c>
      <c r="AE43" s="16">
        <v>24.0</v>
      </c>
      <c r="AF43" s="16">
        <v>19.36</v>
      </c>
      <c r="AG43" s="16">
        <v>13.0</v>
      </c>
      <c r="AH43" s="16">
        <v>20.0</v>
      </c>
      <c r="AI43" s="16">
        <v>15.88</v>
      </c>
      <c r="AJ43" s="16">
        <v>16.0</v>
      </c>
      <c r="AK43" s="16">
        <v>20.0</v>
      </c>
      <c r="AL43" s="17">
        <v>18.2</v>
      </c>
      <c r="AM43" s="18">
        <v>12.0</v>
      </c>
      <c r="AN43" s="19">
        <v>40.0</v>
      </c>
      <c r="AO43" s="20">
        <v>22.61625</v>
      </c>
    </row>
    <row r="44" ht="15.75" customHeight="1">
      <c r="A44" s="21" t="s">
        <v>59</v>
      </c>
      <c r="B44" s="22" t="s">
        <v>19</v>
      </c>
      <c r="C44" s="16">
        <v>140.0</v>
      </c>
      <c r="D44" s="16">
        <v>300.0</v>
      </c>
      <c r="E44" s="16">
        <v>224.08</v>
      </c>
      <c r="F44" s="16">
        <v>250.0</v>
      </c>
      <c r="G44" s="16">
        <v>500.0</v>
      </c>
      <c r="H44" s="16">
        <v>340.76</v>
      </c>
      <c r="I44" s="16">
        <v>180.0</v>
      </c>
      <c r="J44" s="16">
        <v>400.0</v>
      </c>
      <c r="K44" s="16">
        <v>243.86</v>
      </c>
      <c r="L44" s="16">
        <v>190.0</v>
      </c>
      <c r="M44" s="16">
        <v>400.0</v>
      </c>
      <c r="N44" s="16">
        <v>276.23</v>
      </c>
      <c r="O44" s="16">
        <v>350.0</v>
      </c>
      <c r="P44" s="16">
        <v>600.0</v>
      </c>
      <c r="Q44" s="16">
        <v>450.0</v>
      </c>
      <c r="R44" s="16">
        <v>325.0</v>
      </c>
      <c r="S44" s="16">
        <v>500.0</v>
      </c>
      <c r="T44" s="16">
        <v>397.06</v>
      </c>
      <c r="U44" s="16">
        <v>200.0</v>
      </c>
      <c r="V44" s="16">
        <v>350.0</v>
      </c>
      <c r="W44" s="16">
        <v>256.29</v>
      </c>
      <c r="X44" s="16">
        <v>180.0</v>
      </c>
      <c r="Y44" s="16">
        <v>290.0</v>
      </c>
      <c r="Z44" s="16">
        <v>216.59</v>
      </c>
      <c r="AA44" s="16">
        <v>220.0</v>
      </c>
      <c r="AB44" s="16">
        <v>400.0</v>
      </c>
      <c r="AC44" s="16">
        <v>247.22</v>
      </c>
      <c r="AD44" s="16">
        <v>230.0</v>
      </c>
      <c r="AE44" s="16">
        <v>400.0</v>
      </c>
      <c r="AF44" s="16">
        <v>317.8</v>
      </c>
      <c r="AG44" s="16">
        <v>220.0</v>
      </c>
      <c r="AH44" s="16">
        <v>400.0</v>
      </c>
      <c r="AI44" s="16">
        <v>275.92</v>
      </c>
      <c r="AJ44" s="16">
        <v>140.0</v>
      </c>
      <c r="AK44" s="16">
        <v>290.0</v>
      </c>
      <c r="AL44" s="17">
        <v>180.97</v>
      </c>
      <c r="AM44" s="18">
        <v>140.0</v>
      </c>
      <c r="AN44" s="19">
        <v>600.0</v>
      </c>
      <c r="AO44" s="20">
        <v>285.565</v>
      </c>
    </row>
    <row r="45" ht="15.75" customHeight="1">
      <c r="A45" s="21" t="s">
        <v>60</v>
      </c>
      <c r="B45" s="22" t="s">
        <v>19</v>
      </c>
      <c r="C45" s="16">
        <v>100.0</v>
      </c>
      <c r="D45" s="16">
        <v>300.0</v>
      </c>
      <c r="E45" s="16">
        <v>219.12</v>
      </c>
      <c r="F45" s="16">
        <v>75.0</v>
      </c>
      <c r="G45" s="16">
        <v>450.0</v>
      </c>
      <c r="H45" s="16">
        <v>135.03</v>
      </c>
      <c r="I45" s="16">
        <v>75.0</v>
      </c>
      <c r="J45" s="16">
        <v>125.0</v>
      </c>
      <c r="K45" s="16">
        <v>90.12</v>
      </c>
      <c r="L45" s="16">
        <v>75.0</v>
      </c>
      <c r="M45" s="16">
        <v>175.0</v>
      </c>
      <c r="N45" s="16">
        <v>120.19</v>
      </c>
      <c r="O45" s="16">
        <v>125.0</v>
      </c>
      <c r="P45" s="16">
        <v>200.0</v>
      </c>
      <c r="Q45" s="16">
        <v>164.31</v>
      </c>
      <c r="R45" s="16">
        <v>175.0</v>
      </c>
      <c r="S45" s="16">
        <v>225.0</v>
      </c>
      <c r="T45" s="16">
        <v>195.85</v>
      </c>
      <c r="U45" s="16">
        <v>150.0</v>
      </c>
      <c r="V45" s="16">
        <v>210.0</v>
      </c>
      <c r="W45" s="16">
        <v>191.11</v>
      </c>
      <c r="X45" s="16">
        <v>180.0</v>
      </c>
      <c r="Y45" s="16">
        <v>190.0</v>
      </c>
      <c r="Z45" s="16">
        <v>186.67</v>
      </c>
      <c r="AA45" s="16"/>
      <c r="AB45" s="16"/>
      <c r="AC45" s="16"/>
      <c r="AD45" s="16">
        <v>110.0</v>
      </c>
      <c r="AE45" s="16">
        <v>120.0</v>
      </c>
      <c r="AF45" s="16">
        <v>115.0</v>
      </c>
      <c r="AG45" s="16"/>
      <c r="AH45" s="16"/>
      <c r="AI45" s="16"/>
      <c r="AJ45" s="16">
        <v>150.0</v>
      </c>
      <c r="AK45" s="16">
        <v>300.0</v>
      </c>
      <c r="AL45" s="17">
        <v>200.32</v>
      </c>
      <c r="AM45" s="18">
        <v>75.0</v>
      </c>
      <c r="AN45" s="19">
        <v>450.0</v>
      </c>
      <c r="AO45" s="20">
        <v>161.772</v>
      </c>
    </row>
    <row r="46" ht="15.75" customHeight="1">
      <c r="A46" s="21" t="s">
        <v>61</v>
      </c>
      <c r="B46" s="22" t="s">
        <v>19</v>
      </c>
      <c r="C46" s="16">
        <v>25.0</v>
      </c>
      <c r="D46" s="16">
        <v>35.0</v>
      </c>
      <c r="E46" s="16">
        <v>30.68</v>
      </c>
      <c r="F46" s="16">
        <v>20.0</v>
      </c>
      <c r="G46" s="16">
        <v>35.0</v>
      </c>
      <c r="H46" s="16">
        <v>29.76</v>
      </c>
      <c r="I46" s="16">
        <v>25.0</v>
      </c>
      <c r="J46" s="16">
        <v>40.0</v>
      </c>
      <c r="K46" s="16">
        <v>32.46</v>
      </c>
      <c r="L46" s="16">
        <v>30.0</v>
      </c>
      <c r="M46" s="16">
        <v>45.0</v>
      </c>
      <c r="N46" s="16">
        <v>38.97</v>
      </c>
      <c r="O46" s="16">
        <v>40.0</v>
      </c>
      <c r="P46" s="16">
        <v>60.0</v>
      </c>
      <c r="Q46" s="16">
        <v>47.1</v>
      </c>
      <c r="R46" s="16">
        <v>35.0</v>
      </c>
      <c r="S46" s="16">
        <v>65.0</v>
      </c>
      <c r="T46" s="16">
        <v>48.89</v>
      </c>
      <c r="U46" s="16">
        <v>25.0</v>
      </c>
      <c r="V46" s="16">
        <v>35.0</v>
      </c>
      <c r="W46" s="16">
        <v>30.66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v>40.0</v>
      </c>
      <c r="AK46" s="16">
        <v>50.0</v>
      </c>
      <c r="AL46" s="17">
        <v>44.48</v>
      </c>
      <c r="AM46" s="18">
        <v>20.0</v>
      </c>
      <c r="AN46" s="19">
        <v>65.0</v>
      </c>
      <c r="AO46" s="20">
        <v>37.875</v>
      </c>
    </row>
    <row r="47" ht="15.75" customHeight="1">
      <c r="A47" s="21" t="s">
        <v>62</v>
      </c>
      <c r="B47" s="22" t="s">
        <v>19</v>
      </c>
      <c r="C47" s="16">
        <v>20.0</v>
      </c>
      <c r="D47" s="16">
        <v>60.0</v>
      </c>
      <c r="E47" s="16">
        <v>46.84</v>
      </c>
      <c r="F47" s="16">
        <v>25.0</v>
      </c>
      <c r="G47" s="16">
        <v>45.0</v>
      </c>
      <c r="H47" s="16">
        <v>35.69</v>
      </c>
      <c r="I47" s="16">
        <v>35.0</v>
      </c>
      <c r="J47" s="16">
        <v>130.0</v>
      </c>
      <c r="K47" s="16">
        <v>82.77</v>
      </c>
      <c r="L47" s="16">
        <v>70.0</v>
      </c>
      <c r="M47" s="16">
        <v>125.0</v>
      </c>
      <c r="N47" s="16">
        <v>93.61</v>
      </c>
      <c r="O47" s="16">
        <v>100.0</v>
      </c>
      <c r="P47" s="16">
        <v>130.0</v>
      </c>
      <c r="Q47" s="16">
        <v>115.0</v>
      </c>
      <c r="R47" s="16"/>
      <c r="S47" s="16"/>
      <c r="T47" s="16"/>
      <c r="U47" s="16">
        <v>40.0</v>
      </c>
      <c r="V47" s="16">
        <v>100.0</v>
      </c>
      <c r="W47" s="16">
        <v>77.72</v>
      </c>
      <c r="X47" s="16">
        <v>35.0</v>
      </c>
      <c r="Y47" s="16">
        <v>65.0</v>
      </c>
      <c r="Z47" s="16">
        <v>44.34</v>
      </c>
      <c r="AA47" s="16">
        <v>30.0</v>
      </c>
      <c r="AB47" s="16">
        <v>50.0</v>
      </c>
      <c r="AC47" s="16">
        <v>39.69</v>
      </c>
      <c r="AD47" s="16">
        <v>18.0</v>
      </c>
      <c r="AE47" s="16">
        <v>55.0</v>
      </c>
      <c r="AF47" s="16">
        <v>30.76</v>
      </c>
      <c r="AG47" s="16">
        <v>20.0</v>
      </c>
      <c r="AH47" s="16">
        <v>40.0</v>
      </c>
      <c r="AI47" s="16">
        <v>30.5</v>
      </c>
      <c r="AJ47" s="16">
        <v>35.0</v>
      </c>
      <c r="AK47" s="16">
        <v>55.0</v>
      </c>
      <c r="AL47" s="17">
        <v>45.0</v>
      </c>
      <c r="AM47" s="18">
        <v>18.0</v>
      </c>
      <c r="AN47" s="19">
        <v>130.0</v>
      </c>
      <c r="AO47" s="20">
        <v>58.356363636363646</v>
      </c>
    </row>
    <row r="48" ht="15.75" customHeight="1">
      <c r="A48" s="21" t="s">
        <v>63</v>
      </c>
      <c r="B48" s="22" t="s">
        <v>19</v>
      </c>
      <c r="C48" s="16">
        <v>30.0</v>
      </c>
      <c r="D48" s="16">
        <v>50.0</v>
      </c>
      <c r="E48" s="16">
        <v>39.31</v>
      </c>
      <c r="F48" s="16">
        <v>30.0</v>
      </c>
      <c r="G48" s="16">
        <v>80.0</v>
      </c>
      <c r="H48" s="16">
        <v>48.23</v>
      </c>
      <c r="I48" s="16">
        <v>50.0</v>
      </c>
      <c r="J48" s="16">
        <v>85.0</v>
      </c>
      <c r="K48" s="16">
        <v>62.29</v>
      </c>
      <c r="L48" s="16">
        <v>45.0</v>
      </c>
      <c r="M48" s="16">
        <v>80.0</v>
      </c>
      <c r="N48" s="16">
        <v>67.79</v>
      </c>
      <c r="O48" s="16">
        <v>50.0</v>
      </c>
      <c r="P48" s="16">
        <v>75.0</v>
      </c>
      <c r="Q48" s="16">
        <v>65.69</v>
      </c>
      <c r="R48" s="16">
        <v>60.0</v>
      </c>
      <c r="S48" s="16">
        <v>70.0</v>
      </c>
      <c r="T48" s="16">
        <v>64.58</v>
      </c>
      <c r="U48" s="16">
        <v>50.0</v>
      </c>
      <c r="V48" s="16">
        <v>90.0</v>
      </c>
      <c r="W48" s="16">
        <v>70.0</v>
      </c>
      <c r="X48" s="16">
        <v>50.0</v>
      </c>
      <c r="Y48" s="16">
        <v>125.0</v>
      </c>
      <c r="Z48" s="16">
        <v>90.59</v>
      </c>
      <c r="AA48" s="16">
        <v>40.0</v>
      </c>
      <c r="AB48" s="16">
        <v>75.0</v>
      </c>
      <c r="AC48" s="16">
        <v>61.55</v>
      </c>
      <c r="AD48" s="16">
        <v>35.0</v>
      </c>
      <c r="AE48" s="16">
        <v>70.0</v>
      </c>
      <c r="AF48" s="16">
        <v>54.05</v>
      </c>
      <c r="AG48" s="16">
        <v>35.0</v>
      </c>
      <c r="AH48" s="16">
        <v>50.0</v>
      </c>
      <c r="AI48" s="16">
        <v>41.28</v>
      </c>
      <c r="AJ48" s="16">
        <v>30.0</v>
      </c>
      <c r="AK48" s="16">
        <v>60.0</v>
      </c>
      <c r="AL48" s="17">
        <v>45.42</v>
      </c>
      <c r="AM48" s="18">
        <v>30.0</v>
      </c>
      <c r="AN48" s="19">
        <v>125.0</v>
      </c>
      <c r="AO48" s="20">
        <v>59.231666666666655</v>
      </c>
    </row>
    <row r="49" ht="15.75" customHeight="1">
      <c r="A49" s="21" t="s">
        <v>64</v>
      </c>
      <c r="B49" s="22" t="s">
        <v>19</v>
      </c>
      <c r="C49" s="16">
        <v>20.0</v>
      </c>
      <c r="D49" s="16">
        <v>35.0</v>
      </c>
      <c r="E49" s="16">
        <v>28.94</v>
      </c>
      <c r="F49" s="16">
        <v>20.0</v>
      </c>
      <c r="G49" s="16">
        <v>35.0</v>
      </c>
      <c r="H49" s="16">
        <v>24.0</v>
      </c>
      <c r="I49" s="16"/>
      <c r="J49" s="16"/>
      <c r="K49" s="16"/>
      <c r="L49" s="16"/>
      <c r="M49" s="16"/>
      <c r="N49" s="16"/>
      <c r="O49" s="16"/>
      <c r="P49" s="16"/>
      <c r="Q49" s="16"/>
      <c r="R49" s="16">
        <v>48.0</v>
      </c>
      <c r="S49" s="16">
        <v>55.0</v>
      </c>
      <c r="T49" s="16">
        <v>50.75</v>
      </c>
      <c r="U49" s="16">
        <v>55.0</v>
      </c>
      <c r="V49" s="16">
        <v>60.0</v>
      </c>
      <c r="W49" s="16">
        <v>57.5</v>
      </c>
      <c r="X49" s="16">
        <v>60.0</v>
      </c>
      <c r="Y49" s="16">
        <v>65.0</v>
      </c>
      <c r="Z49" s="16">
        <v>62.5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v>30.0</v>
      </c>
      <c r="AK49" s="16">
        <v>120.0</v>
      </c>
      <c r="AL49" s="17">
        <v>64.54</v>
      </c>
      <c r="AM49" s="18">
        <v>20.0</v>
      </c>
      <c r="AN49" s="19">
        <v>120.0</v>
      </c>
      <c r="AO49" s="20">
        <v>48.038333333333334</v>
      </c>
    </row>
    <row r="50" ht="15.75" customHeight="1">
      <c r="A50" s="21" t="s">
        <v>65</v>
      </c>
      <c r="B50" s="22" t="s">
        <v>19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v>24.0</v>
      </c>
      <c r="AK50" s="16">
        <v>80.0</v>
      </c>
      <c r="AL50" s="17">
        <v>41.69</v>
      </c>
      <c r="AM50" s="18">
        <v>24.0</v>
      </c>
      <c r="AN50" s="19">
        <v>80.0</v>
      </c>
      <c r="AO50" s="20">
        <v>41.69</v>
      </c>
    </row>
    <row r="51" ht="15.75" customHeight="1">
      <c r="A51" s="21" t="s">
        <v>66</v>
      </c>
      <c r="B51" s="22" t="s">
        <v>19</v>
      </c>
      <c r="C51" s="16">
        <v>15.0</v>
      </c>
      <c r="D51" s="16">
        <v>35.0</v>
      </c>
      <c r="E51" s="16">
        <v>23.7</v>
      </c>
      <c r="F51" s="16">
        <v>15.0</v>
      </c>
      <c r="G51" s="16">
        <v>42.0</v>
      </c>
      <c r="H51" s="16">
        <v>23.91</v>
      </c>
      <c r="I51" s="16">
        <v>20.0</v>
      </c>
      <c r="J51" s="16">
        <v>55.0</v>
      </c>
      <c r="K51" s="16">
        <v>29.02</v>
      </c>
      <c r="L51" s="16">
        <v>40.0</v>
      </c>
      <c r="M51" s="16">
        <v>75.0</v>
      </c>
      <c r="N51" s="16">
        <v>63.33</v>
      </c>
      <c r="O51" s="16">
        <v>50.0</v>
      </c>
      <c r="P51" s="16">
        <v>90.0</v>
      </c>
      <c r="Q51" s="16">
        <v>66.74</v>
      </c>
      <c r="R51" s="16">
        <v>60.0</v>
      </c>
      <c r="S51" s="16">
        <v>70.0</v>
      </c>
      <c r="T51" s="16">
        <v>65.83</v>
      </c>
      <c r="U51" s="16">
        <v>50.0</v>
      </c>
      <c r="V51" s="16">
        <v>60.0</v>
      </c>
      <c r="W51" s="16">
        <v>54.38</v>
      </c>
      <c r="X51" s="16"/>
      <c r="Y51" s="16"/>
      <c r="Z51" s="16"/>
      <c r="AA51" s="16"/>
      <c r="AB51" s="16"/>
      <c r="AC51" s="16"/>
      <c r="AD51" s="16">
        <v>25.0</v>
      </c>
      <c r="AE51" s="16">
        <v>35.0</v>
      </c>
      <c r="AF51" s="16">
        <v>30.0</v>
      </c>
      <c r="AG51" s="16">
        <v>25.0</v>
      </c>
      <c r="AH51" s="16">
        <v>50.0</v>
      </c>
      <c r="AI51" s="16">
        <v>39.25</v>
      </c>
      <c r="AJ51" s="16">
        <v>20.0</v>
      </c>
      <c r="AK51" s="16">
        <v>40.0</v>
      </c>
      <c r="AL51" s="17">
        <v>32.08</v>
      </c>
      <c r="AM51" s="18">
        <v>15.0</v>
      </c>
      <c r="AN51" s="19">
        <v>90.0</v>
      </c>
      <c r="AO51" s="20">
        <v>42.824</v>
      </c>
    </row>
    <row r="52" ht="15.75" customHeight="1">
      <c r="A52" s="14" t="s">
        <v>67</v>
      </c>
      <c r="B52" s="22" t="s">
        <v>19</v>
      </c>
      <c r="C52" s="16">
        <v>18.0</v>
      </c>
      <c r="D52" s="16">
        <v>40.0</v>
      </c>
      <c r="E52" s="16">
        <v>24.45</v>
      </c>
      <c r="F52" s="16">
        <v>20.0</v>
      </c>
      <c r="G52" s="16">
        <v>40.0</v>
      </c>
      <c r="H52" s="16">
        <v>24.05</v>
      </c>
      <c r="I52" s="16">
        <v>20.0</v>
      </c>
      <c r="J52" s="16">
        <v>35.0</v>
      </c>
      <c r="K52" s="16">
        <v>26.92</v>
      </c>
      <c r="L52" s="16">
        <v>25.0</v>
      </c>
      <c r="M52" s="16">
        <v>40.0</v>
      </c>
      <c r="N52" s="16">
        <v>34.77</v>
      </c>
      <c r="O52" s="16">
        <v>30.0</v>
      </c>
      <c r="P52" s="16">
        <v>90.0</v>
      </c>
      <c r="Q52" s="16">
        <v>46.48</v>
      </c>
      <c r="R52" s="16">
        <v>25.0</v>
      </c>
      <c r="S52" s="16">
        <v>70.0</v>
      </c>
      <c r="T52" s="16">
        <v>49.6</v>
      </c>
      <c r="U52" s="16">
        <v>18.0</v>
      </c>
      <c r="V52" s="16">
        <v>35.0</v>
      </c>
      <c r="W52" s="16">
        <v>25.93</v>
      </c>
      <c r="X52" s="16">
        <v>15.0</v>
      </c>
      <c r="Y52" s="16">
        <v>25.0</v>
      </c>
      <c r="Z52" s="16">
        <v>21.09</v>
      </c>
      <c r="AA52" s="16">
        <v>18.0</v>
      </c>
      <c r="AB52" s="16">
        <v>40.0</v>
      </c>
      <c r="AC52" s="16">
        <v>26.51</v>
      </c>
      <c r="AD52" s="16">
        <v>25.0</v>
      </c>
      <c r="AE52" s="16">
        <v>40.0</v>
      </c>
      <c r="AF52" s="16">
        <v>32.08</v>
      </c>
      <c r="AG52" s="16">
        <v>25.0</v>
      </c>
      <c r="AH52" s="16">
        <v>40.0</v>
      </c>
      <c r="AI52" s="16">
        <v>32.78</v>
      </c>
      <c r="AJ52" s="16">
        <v>20.0</v>
      </c>
      <c r="AK52" s="16">
        <v>40.0</v>
      </c>
      <c r="AL52" s="17">
        <v>27.58</v>
      </c>
      <c r="AM52" s="18">
        <v>15.0</v>
      </c>
      <c r="AN52" s="19">
        <v>90.0</v>
      </c>
      <c r="AO52" s="20">
        <v>31.02</v>
      </c>
    </row>
    <row r="53" ht="15.75" customHeight="1">
      <c r="A53" s="21" t="s">
        <v>68</v>
      </c>
      <c r="B53" s="22" t="s">
        <v>19</v>
      </c>
      <c r="C53" s="16">
        <v>25.0</v>
      </c>
      <c r="D53" s="16">
        <v>40.0</v>
      </c>
      <c r="E53" s="16">
        <v>33.0</v>
      </c>
      <c r="F53" s="16">
        <v>30.0</v>
      </c>
      <c r="G53" s="16">
        <v>40.0</v>
      </c>
      <c r="H53" s="16">
        <v>34.98</v>
      </c>
      <c r="I53" s="16">
        <v>40.0</v>
      </c>
      <c r="J53" s="16">
        <v>45.0</v>
      </c>
      <c r="K53" s="16">
        <v>42.5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>
        <v>35.0</v>
      </c>
      <c r="Y53" s="16">
        <v>50.0</v>
      </c>
      <c r="Z53" s="16">
        <v>40.84</v>
      </c>
      <c r="AA53" s="16">
        <v>35.0</v>
      </c>
      <c r="AB53" s="16">
        <v>45.0</v>
      </c>
      <c r="AC53" s="16">
        <v>39.39</v>
      </c>
      <c r="AD53" s="16">
        <v>35.0</v>
      </c>
      <c r="AE53" s="16">
        <v>50.0</v>
      </c>
      <c r="AF53" s="16">
        <v>42.12</v>
      </c>
      <c r="AG53" s="16">
        <v>35.0</v>
      </c>
      <c r="AH53" s="16">
        <v>50.0</v>
      </c>
      <c r="AI53" s="16">
        <v>40.96</v>
      </c>
      <c r="AJ53" s="16">
        <v>35.0</v>
      </c>
      <c r="AK53" s="16">
        <v>50.0</v>
      </c>
      <c r="AL53" s="17">
        <v>46.18</v>
      </c>
      <c r="AM53" s="18">
        <v>25.0</v>
      </c>
      <c r="AN53" s="19">
        <v>50.0</v>
      </c>
      <c r="AO53" s="20">
        <v>39.99625</v>
      </c>
    </row>
    <row r="54" ht="15.75" customHeight="1">
      <c r="A54" s="14" t="s">
        <v>69</v>
      </c>
      <c r="B54" s="22" t="s">
        <v>19</v>
      </c>
      <c r="C54" s="16">
        <v>45.0</v>
      </c>
      <c r="D54" s="16">
        <v>65.0</v>
      </c>
      <c r="E54" s="16">
        <v>54.72</v>
      </c>
      <c r="F54" s="16">
        <v>45.0</v>
      </c>
      <c r="G54" s="16">
        <v>65.0</v>
      </c>
      <c r="H54" s="16">
        <v>53.8</v>
      </c>
      <c r="I54" s="16">
        <v>45.0</v>
      </c>
      <c r="J54" s="16">
        <v>65.0</v>
      </c>
      <c r="K54" s="16">
        <v>56.13</v>
      </c>
      <c r="L54" s="16">
        <v>50.0</v>
      </c>
      <c r="M54" s="16">
        <v>90.0</v>
      </c>
      <c r="N54" s="16">
        <v>56.7</v>
      </c>
      <c r="O54" s="16">
        <v>50.0</v>
      </c>
      <c r="P54" s="16">
        <v>100.0</v>
      </c>
      <c r="Q54" s="16">
        <v>70.78</v>
      </c>
      <c r="R54" s="16">
        <v>75.0</v>
      </c>
      <c r="S54" s="16">
        <v>125.0</v>
      </c>
      <c r="T54" s="16">
        <v>95.0</v>
      </c>
      <c r="U54" s="16">
        <v>50.0</v>
      </c>
      <c r="V54" s="16">
        <v>80.0</v>
      </c>
      <c r="W54" s="16">
        <v>60.63</v>
      </c>
      <c r="X54" s="16">
        <v>50.0</v>
      </c>
      <c r="Y54" s="16">
        <v>75.0</v>
      </c>
      <c r="Z54" s="16">
        <v>63.33</v>
      </c>
      <c r="AA54" s="16">
        <v>60.0</v>
      </c>
      <c r="AB54" s="16">
        <v>100.0</v>
      </c>
      <c r="AC54" s="16">
        <v>74.31</v>
      </c>
      <c r="AD54" s="16">
        <v>50.0</v>
      </c>
      <c r="AE54" s="16">
        <v>90.0</v>
      </c>
      <c r="AF54" s="16">
        <v>70.22</v>
      </c>
      <c r="AG54" s="16">
        <v>45.0</v>
      </c>
      <c r="AH54" s="16">
        <v>75.0</v>
      </c>
      <c r="AI54" s="16">
        <v>56.3</v>
      </c>
      <c r="AJ54" s="16">
        <v>45.0</v>
      </c>
      <c r="AK54" s="16">
        <v>60.0</v>
      </c>
      <c r="AL54" s="17">
        <v>56.15</v>
      </c>
      <c r="AM54" s="18">
        <v>45.0</v>
      </c>
      <c r="AN54" s="19">
        <v>125.0</v>
      </c>
      <c r="AO54" s="20">
        <v>64.00583333333333</v>
      </c>
    </row>
    <row r="55" ht="15.75" customHeight="1">
      <c r="A55" s="14" t="s">
        <v>70</v>
      </c>
      <c r="B55" s="22" t="s">
        <v>19</v>
      </c>
      <c r="C55" s="16">
        <v>65.0</v>
      </c>
      <c r="D55" s="16">
        <v>95.0</v>
      </c>
      <c r="E55" s="16">
        <v>77.64</v>
      </c>
      <c r="F55" s="16">
        <v>65.0</v>
      </c>
      <c r="G55" s="16">
        <v>90.0</v>
      </c>
      <c r="H55" s="16">
        <v>74.7</v>
      </c>
      <c r="I55" s="16">
        <v>70.0</v>
      </c>
      <c r="J55" s="16">
        <v>115.0</v>
      </c>
      <c r="K55" s="16">
        <v>92.02</v>
      </c>
      <c r="L55" s="16">
        <v>90.0</v>
      </c>
      <c r="M55" s="16">
        <v>120.0</v>
      </c>
      <c r="N55" s="16">
        <v>106.9</v>
      </c>
      <c r="O55" s="16">
        <v>100.0</v>
      </c>
      <c r="P55" s="16">
        <v>175.0</v>
      </c>
      <c r="Q55" s="16">
        <v>130.0</v>
      </c>
      <c r="R55" s="16">
        <v>125.0</v>
      </c>
      <c r="S55" s="16">
        <v>175.0</v>
      </c>
      <c r="T55" s="16">
        <v>148.21</v>
      </c>
      <c r="U55" s="16">
        <v>110.0</v>
      </c>
      <c r="V55" s="16">
        <v>130.0</v>
      </c>
      <c r="W55" s="16">
        <v>123.61</v>
      </c>
      <c r="X55" s="16">
        <v>100.0</v>
      </c>
      <c r="Y55" s="16">
        <v>140.0</v>
      </c>
      <c r="Z55" s="16">
        <v>121.88</v>
      </c>
      <c r="AA55" s="16">
        <v>120.0</v>
      </c>
      <c r="AB55" s="16">
        <v>190.0</v>
      </c>
      <c r="AC55" s="16">
        <v>149.58</v>
      </c>
      <c r="AD55" s="16">
        <v>150.0</v>
      </c>
      <c r="AE55" s="16">
        <v>225.0</v>
      </c>
      <c r="AF55" s="16">
        <v>196.05</v>
      </c>
      <c r="AG55" s="16">
        <v>90.0</v>
      </c>
      <c r="AH55" s="16">
        <v>200.0</v>
      </c>
      <c r="AI55" s="16">
        <v>136.67</v>
      </c>
      <c r="AJ55" s="16">
        <v>100.0</v>
      </c>
      <c r="AK55" s="16">
        <v>130.0</v>
      </c>
      <c r="AL55" s="17">
        <v>113.2</v>
      </c>
      <c r="AM55" s="18">
        <v>65.0</v>
      </c>
      <c r="AN55" s="19">
        <v>225.0</v>
      </c>
      <c r="AO55" s="20">
        <v>122.53833333333334</v>
      </c>
    </row>
    <row r="56" ht="15.75" customHeight="1">
      <c r="A56" s="21" t="s">
        <v>71</v>
      </c>
      <c r="B56" s="22" t="s">
        <v>19</v>
      </c>
      <c r="C56" s="16">
        <v>25.0</v>
      </c>
      <c r="D56" s="16">
        <v>40.0</v>
      </c>
      <c r="E56" s="16">
        <v>31.09</v>
      </c>
      <c r="F56" s="16">
        <v>25.0</v>
      </c>
      <c r="G56" s="16">
        <v>35.0</v>
      </c>
      <c r="H56" s="16">
        <v>30.0</v>
      </c>
      <c r="I56" s="16">
        <v>25.0</v>
      </c>
      <c r="J56" s="16">
        <v>60.0</v>
      </c>
      <c r="K56" s="16">
        <v>34.09</v>
      </c>
      <c r="L56" s="16">
        <v>35.0</v>
      </c>
      <c r="M56" s="16">
        <v>50.0</v>
      </c>
      <c r="N56" s="16">
        <v>42.86</v>
      </c>
      <c r="O56" s="16">
        <v>40.0</v>
      </c>
      <c r="P56" s="16">
        <v>55.0</v>
      </c>
      <c r="Q56" s="16">
        <v>48.05</v>
      </c>
      <c r="R56" s="16">
        <v>30.0</v>
      </c>
      <c r="S56" s="16">
        <v>60.0</v>
      </c>
      <c r="T56" s="16">
        <v>49.82</v>
      </c>
      <c r="U56" s="16">
        <v>25.0</v>
      </c>
      <c r="V56" s="16">
        <v>40.0</v>
      </c>
      <c r="W56" s="16">
        <v>35.26</v>
      </c>
      <c r="X56" s="16">
        <v>30.0</v>
      </c>
      <c r="Y56" s="16">
        <v>80.0</v>
      </c>
      <c r="Z56" s="16">
        <v>39.37</v>
      </c>
      <c r="AA56" s="16">
        <v>30.0</v>
      </c>
      <c r="AB56" s="16">
        <v>45.0</v>
      </c>
      <c r="AC56" s="16">
        <v>37.29</v>
      </c>
      <c r="AD56" s="16">
        <v>25.0</v>
      </c>
      <c r="AE56" s="16">
        <v>45.0</v>
      </c>
      <c r="AF56" s="16">
        <v>35.07</v>
      </c>
      <c r="AG56" s="16">
        <v>20.0</v>
      </c>
      <c r="AH56" s="16">
        <v>40.0</v>
      </c>
      <c r="AI56" s="16">
        <v>27.77</v>
      </c>
      <c r="AJ56" s="16">
        <v>30.0</v>
      </c>
      <c r="AK56" s="16">
        <v>45.0</v>
      </c>
      <c r="AL56" s="17">
        <v>35.83</v>
      </c>
      <c r="AM56" s="18">
        <v>20.0</v>
      </c>
      <c r="AN56" s="19">
        <v>80.0</v>
      </c>
      <c r="AO56" s="20">
        <v>37.208333333333336</v>
      </c>
    </row>
    <row r="57" ht="15.75" customHeight="1">
      <c r="A57" s="14" t="s">
        <v>72</v>
      </c>
      <c r="B57" s="22" t="s">
        <v>19</v>
      </c>
      <c r="C57" s="16">
        <v>50.0</v>
      </c>
      <c r="D57" s="16">
        <v>70.0</v>
      </c>
      <c r="E57" s="16">
        <v>59.32</v>
      </c>
      <c r="F57" s="16">
        <v>50.0</v>
      </c>
      <c r="G57" s="16">
        <v>60.0</v>
      </c>
      <c r="H57" s="16">
        <v>56.43</v>
      </c>
      <c r="I57" s="16">
        <v>55.0</v>
      </c>
      <c r="J57" s="16">
        <v>75.0</v>
      </c>
      <c r="K57" s="16">
        <v>64.24</v>
      </c>
      <c r="L57" s="16">
        <v>60.0</v>
      </c>
      <c r="M57" s="16">
        <v>75.0</v>
      </c>
      <c r="N57" s="16">
        <v>65.98</v>
      </c>
      <c r="O57" s="16">
        <v>60.0</v>
      </c>
      <c r="P57" s="16">
        <v>80.0</v>
      </c>
      <c r="Q57" s="16">
        <v>67.66</v>
      </c>
      <c r="R57" s="16">
        <v>60.0</v>
      </c>
      <c r="S57" s="16">
        <v>80.0</v>
      </c>
      <c r="T57" s="16">
        <v>69.17</v>
      </c>
      <c r="U57" s="16">
        <v>60.0</v>
      </c>
      <c r="V57" s="16">
        <v>80.0</v>
      </c>
      <c r="W57" s="16">
        <v>71.88</v>
      </c>
      <c r="X57" s="16">
        <v>70.0</v>
      </c>
      <c r="Y57" s="16">
        <v>120.0</v>
      </c>
      <c r="Z57" s="16">
        <v>85.5</v>
      </c>
      <c r="AA57" s="16">
        <v>90.0</v>
      </c>
      <c r="AB57" s="16">
        <v>110.0</v>
      </c>
      <c r="AC57" s="16">
        <v>96.43</v>
      </c>
      <c r="AD57" s="16"/>
      <c r="AE57" s="16"/>
      <c r="AF57" s="16"/>
      <c r="AG57" s="16"/>
      <c r="AH57" s="16"/>
      <c r="AI57" s="16"/>
      <c r="AJ57" s="16">
        <v>60.0</v>
      </c>
      <c r="AK57" s="16">
        <v>100.0</v>
      </c>
      <c r="AL57" s="17">
        <v>86.57</v>
      </c>
      <c r="AM57" s="18">
        <v>50.0</v>
      </c>
      <c r="AN57" s="19">
        <v>120.0</v>
      </c>
      <c r="AO57" s="20">
        <v>72.31800000000001</v>
      </c>
    </row>
    <row r="58" ht="15.75" customHeight="1">
      <c r="A58" s="14" t="s">
        <v>73</v>
      </c>
      <c r="B58" s="22" t="s">
        <v>19</v>
      </c>
      <c r="C58" s="16">
        <v>20.0</v>
      </c>
      <c r="D58" s="16">
        <v>35.0</v>
      </c>
      <c r="E58" s="16">
        <v>28.93</v>
      </c>
      <c r="F58" s="16">
        <v>20.0</v>
      </c>
      <c r="G58" s="16">
        <v>35.0</v>
      </c>
      <c r="H58" s="16">
        <v>28.11</v>
      </c>
      <c r="I58" s="16">
        <v>25.0</v>
      </c>
      <c r="J58" s="16">
        <v>35.0</v>
      </c>
      <c r="K58" s="16">
        <v>29.78</v>
      </c>
      <c r="L58" s="16">
        <v>30.0</v>
      </c>
      <c r="M58" s="16">
        <v>40.0</v>
      </c>
      <c r="N58" s="16">
        <v>35.42</v>
      </c>
      <c r="O58" s="16">
        <v>30.0</v>
      </c>
      <c r="P58" s="16">
        <v>50.0</v>
      </c>
      <c r="Q58" s="16">
        <v>38.07</v>
      </c>
      <c r="R58" s="16">
        <v>30.0</v>
      </c>
      <c r="S58" s="16">
        <v>45.0</v>
      </c>
      <c r="T58" s="16">
        <v>39.21</v>
      </c>
      <c r="U58" s="16">
        <v>20.0</v>
      </c>
      <c r="V58" s="16">
        <v>35.0</v>
      </c>
      <c r="W58" s="16">
        <v>26.63</v>
      </c>
      <c r="X58" s="16">
        <v>18.0</v>
      </c>
      <c r="Y58" s="16">
        <v>25.0</v>
      </c>
      <c r="Z58" s="16">
        <v>21.96</v>
      </c>
      <c r="AA58" s="16">
        <v>20.0</v>
      </c>
      <c r="AB58" s="16">
        <v>30.0</v>
      </c>
      <c r="AC58" s="16">
        <v>26.43</v>
      </c>
      <c r="AD58" s="16">
        <v>20.0</v>
      </c>
      <c r="AE58" s="16">
        <v>35.0</v>
      </c>
      <c r="AF58" s="16">
        <v>28.17</v>
      </c>
      <c r="AG58" s="16">
        <v>20.0</v>
      </c>
      <c r="AH58" s="16">
        <v>35.0</v>
      </c>
      <c r="AI58" s="16">
        <v>28.64</v>
      </c>
      <c r="AJ58" s="16"/>
      <c r="AK58" s="16"/>
      <c r="AL58" s="17"/>
      <c r="AM58" s="18">
        <v>18.0</v>
      </c>
      <c r="AN58" s="19">
        <v>50.0</v>
      </c>
      <c r="AO58" s="20">
        <v>30.122727272727275</v>
      </c>
    </row>
    <row r="59" ht="15.75" customHeight="1">
      <c r="A59" s="21" t="s">
        <v>74</v>
      </c>
      <c r="B59" s="22" t="s">
        <v>19</v>
      </c>
      <c r="C59" s="16">
        <v>45.0</v>
      </c>
      <c r="D59" s="16">
        <v>115.0</v>
      </c>
      <c r="E59" s="16">
        <v>73.63</v>
      </c>
      <c r="F59" s="16">
        <v>80.0</v>
      </c>
      <c r="G59" s="16">
        <v>110.0</v>
      </c>
      <c r="H59" s="16">
        <v>94.0</v>
      </c>
      <c r="I59" s="16">
        <v>90.0</v>
      </c>
      <c r="J59" s="16">
        <v>115.0</v>
      </c>
      <c r="K59" s="16">
        <v>101.96</v>
      </c>
      <c r="L59" s="16">
        <v>75.0</v>
      </c>
      <c r="M59" s="16">
        <v>115.0</v>
      </c>
      <c r="N59" s="16">
        <v>94.81</v>
      </c>
      <c r="O59" s="16">
        <v>80.0</v>
      </c>
      <c r="P59" s="16">
        <v>110.0</v>
      </c>
      <c r="Q59" s="16">
        <v>92.07</v>
      </c>
      <c r="R59" s="16">
        <v>60.0</v>
      </c>
      <c r="S59" s="16">
        <v>100.0</v>
      </c>
      <c r="T59" s="16">
        <v>87.26</v>
      </c>
      <c r="U59" s="16">
        <v>60.0</v>
      </c>
      <c r="V59" s="16">
        <v>70.0</v>
      </c>
      <c r="W59" s="16">
        <v>65.13</v>
      </c>
      <c r="X59" s="16">
        <v>35.0</v>
      </c>
      <c r="Y59" s="16">
        <v>110.0</v>
      </c>
      <c r="Z59" s="16">
        <v>85.31</v>
      </c>
      <c r="AA59" s="16">
        <v>70.0</v>
      </c>
      <c r="AB59" s="16">
        <v>90.0</v>
      </c>
      <c r="AC59" s="16">
        <v>76.94</v>
      </c>
      <c r="AD59" s="16">
        <v>70.0</v>
      </c>
      <c r="AE59" s="16">
        <v>80.0</v>
      </c>
      <c r="AF59" s="16">
        <v>75.57</v>
      </c>
      <c r="AG59" s="16">
        <v>70.0</v>
      </c>
      <c r="AH59" s="16">
        <v>90.0</v>
      </c>
      <c r="AI59" s="16">
        <v>76.63</v>
      </c>
      <c r="AJ59" s="16">
        <v>70.0</v>
      </c>
      <c r="AK59" s="16">
        <v>115.0</v>
      </c>
      <c r="AL59" s="17">
        <v>90.42</v>
      </c>
      <c r="AM59" s="18">
        <v>35.0</v>
      </c>
      <c r="AN59" s="19">
        <v>115.0</v>
      </c>
      <c r="AO59" s="20">
        <v>84.4775</v>
      </c>
    </row>
    <row r="60" ht="15.75" customHeight="1">
      <c r="A60" s="21" t="s">
        <v>75</v>
      </c>
      <c r="B60" s="15" t="s">
        <v>76</v>
      </c>
      <c r="C60" s="16">
        <v>40.0</v>
      </c>
      <c r="D60" s="16">
        <v>75.0</v>
      </c>
      <c r="E60" s="16">
        <v>51.13</v>
      </c>
      <c r="F60" s="16">
        <v>35.0</v>
      </c>
      <c r="G60" s="16">
        <v>70.0</v>
      </c>
      <c r="H60" s="16">
        <v>52.1</v>
      </c>
      <c r="I60" s="16">
        <v>35.0</v>
      </c>
      <c r="J60" s="16">
        <v>50.0</v>
      </c>
      <c r="K60" s="16">
        <v>38.86</v>
      </c>
      <c r="L60" s="16">
        <v>35.0</v>
      </c>
      <c r="M60" s="16">
        <v>45.0</v>
      </c>
      <c r="N60" s="16">
        <v>38.85</v>
      </c>
      <c r="O60" s="16">
        <v>35.0</v>
      </c>
      <c r="P60" s="16">
        <v>50.0</v>
      </c>
      <c r="Q60" s="16">
        <v>38.5</v>
      </c>
      <c r="R60" s="16">
        <v>28.0</v>
      </c>
      <c r="S60" s="16">
        <v>40.0</v>
      </c>
      <c r="T60" s="16">
        <v>33.24</v>
      </c>
      <c r="U60" s="16">
        <v>30.0</v>
      </c>
      <c r="V60" s="16">
        <v>50.0</v>
      </c>
      <c r="W60" s="16">
        <v>40.48</v>
      </c>
      <c r="X60" s="16">
        <v>35.0</v>
      </c>
      <c r="Y60" s="16">
        <v>55.0</v>
      </c>
      <c r="Z60" s="16">
        <v>40.85</v>
      </c>
      <c r="AA60" s="16">
        <v>30.0</v>
      </c>
      <c r="AB60" s="16">
        <v>40.0</v>
      </c>
      <c r="AC60" s="16">
        <v>35.46</v>
      </c>
      <c r="AD60" s="16">
        <v>35.0</v>
      </c>
      <c r="AE60" s="16">
        <v>45.0</v>
      </c>
      <c r="AF60" s="16">
        <v>38.73</v>
      </c>
      <c r="AG60" s="16">
        <v>35.0</v>
      </c>
      <c r="AH60" s="16">
        <v>80.0</v>
      </c>
      <c r="AI60" s="16">
        <v>40.2</v>
      </c>
      <c r="AJ60" s="16">
        <v>35.0</v>
      </c>
      <c r="AK60" s="16">
        <v>50.0</v>
      </c>
      <c r="AL60" s="17">
        <v>43.23</v>
      </c>
      <c r="AM60" s="18">
        <v>28.0</v>
      </c>
      <c r="AN60" s="19">
        <v>80.0</v>
      </c>
      <c r="AO60" s="20">
        <v>40.96916666666667</v>
      </c>
    </row>
    <row r="61" ht="15.75" customHeight="1">
      <c r="A61" s="21" t="s">
        <v>77</v>
      </c>
      <c r="B61" s="23" t="s">
        <v>78</v>
      </c>
      <c r="C61" s="16">
        <v>150.0</v>
      </c>
      <c r="D61" s="16">
        <v>600.0</v>
      </c>
      <c r="E61" s="16">
        <v>329.69</v>
      </c>
      <c r="F61" s="16">
        <v>150.0</v>
      </c>
      <c r="G61" s="16">
        <v>400.0</v>
      </c>
      <c r="H61" s="16">
        <v>263.05</v>
      </c>
      <c r="I61" s="16">
        <v>100.0</v>
      </c>
      <c r="J61" s="16">
        <v>450.0</v>
      </c>
      <c r="K61" s="16">
        <v>252.38</v>
      </c>
      <c r="L61" s="16">
        <v>150.0</v>
      </c>
      <c r="M61" s="16">
        <v>400.0</v>
      </c>
      <c r="N61" s="16">
        <v>271.54</v>
      </c>
      <c r="O61" s="16">
        <v>150.0</v>
      </c>
      <c r="P61" s="16">
        <v>400.0</v>
      </c>
      <c r="Q61" s="16">
        <v>290.92</v>
      </c>
      <c r="R61" s="16">
        <v>150.0</v>
      </c>
      <c r="S61" s="16">
        <v>400.0</v>
      </c>
      <c r="T61" s="16">
        <v>261.07</v>
      </c>
      <c r="U61" s="16">
        <v>100.0</v>
      </c>
      <c r="V61" s="16">
        <v>350.0</v>
      </c>
      <c r="W61" s="16">
        <v>210.13</v>
      </c>
      <c r="X61" s="16">
        <v>100.0</v>
      </c>
      <c r="Y61" s="16">
        <v>300.0</v>
      </c>
      <c r="Z61" s="16">
        <v>204.79</v>
      </c>
      <c r="AA61" s="16">
        <v>100.0</v>
      </c>
      <c r="AB61" s="16">
        <v>300.0</v>
      </c>
      <c r="AC61" s="16">
        <v>201.98</v>
      </c>
      <c r="AD61" s="16">
        <v>100.0</v>
      </c>
      <c r="AE61" s="16">
        <v>300.0</v>
      </c>
      <c r="AF61" s="16">
        <v>219.2</v>
      </c>
      <c r="AG61" s="16">
        <v>200.0</v>
      </c>
      <c r="AH61" s="16">
        <v>600.0</v>
      </c>
      <c r="AI61" s="16">
        <v>334.46</v>
      </c>
      <c r="AJ61" s="16">
        <v>300.0</v>
      </c>
      <c r="AK61" s="16">
        <v>650.0</v>
      </c>
      <c r="AL61" s="17">
        <v>461.46</v>
      </c>
      <c r="AM61" s="18">
        <v>100.0</v>
      </c>
      <c r="AN61" s="19">
        <v>650.0</v>
      </c>
      <c r="AO61" s="20">
        <v>275.05583333333334</v>
      </c>
    </row>
    <row r="62" ht="15.75" customHeight="1">
      <c r="A62" s="21" t="s">
        <v>79</v>
      </c>
      <c r="B62" s="22" t="s">
        <v>19</v>
      </c>
      <c r="C62" s="16">
        <v>225.0</v>
      </c>
      <c r="D62" s="16">
        <v>300.0</v>
      </c>
      <c r="E62" s="16">
        <v>254.61</v>
      </c>
      <c r="F62" s="16">
        <v>140.0</v>
      </c>
      <c r="G62" s="16">
        <v>260.0</v>
      </c>
      <c r="H62" s="16">
        <v>198.0</v>
      </c>
      <c r="I62" s="16">
        <v>140.0</v>
      </c>
      <c r="J62" s="16">
        <v>200.0</v>
      </c>
      <c r="K62" s="16">
        <v>162.41</v>
      </c>
      <c r="L62" s="16">
        <v>135.0</v>
      </c>
      <c r="M62" s="16">
        <v>160.0</v>
      </c>
      <c r="N62" s="16">
        <v>149.42</v>
      </c>
      <c r="O62" s="16">
        <v>140.0</v>
      </c>
      <c r="P62" s="16">
        <v>190.0</v>
      </c>
      <c r="Q62" s="16">
        <v>159.09</v>
      </c>
      <c r="R62" s="16">
        <v>180.0</v>
      </c>
      <c r="S62" s="16">
        <v>240.0</v>
      </c>
      <c r="T62" s="16">
        <v>209.74</v>
      </c>
      <c r="U62" s="16">
        <v>200.0</v>
      </c>
      <c r="V62" s="16">
        <v>250.0</v>
      </c>
      <c r="W62" s="16">
        <v>228.75</v>
      </c>
      <c r="X62" s="16">
        <v>190.0</v>
      </c>
      <c r="Y62" s="16">
        <v>240.0</v>
      </c>
      <c r="Z62" s="16">
        <v>218.75</v>
      </c>
      <c r="AA62" s="16">
        <v>190.0</v>
      </c>
      <c r="AB62" s="16">
        <v>330.0</v>
      </c>
      <c r="AC62" s="16">
        <v>274.57</v>
      </c>
      <c r="AD62" s="16">
        <v>230.0</v>
      </c>
      <c r="AE62" s="16">
        <v>400.0</v>
      </c>
      <c r="AF62" s="16">
        <v>307.16</v>
      </c>
      <c r="AG62" s="16">
        <v>110.0</v>
      </c>
      <c r="AH62" s="16">
        <v>475.0</v>
      </c>
      <c r="AI62" s="16">
        <v>410.0</v>
      </c>
      <c r="AJ62" s="16">
        <v>400.0</v>
      </c>
      <c r="AK62" s="16">
        <v>475.0</v>
      </c>
      <c r="AL62" s="17">
        <v>425.88</v>
      </c>
      <c r="AM62" s="18">
        <v>110.0</v>
      </c>
      <c r="AN62" s="19">
        <v>475.0</v>
      </c>
      <c r="AO62" s="20">
        <v>249.865</v>
      </c>
    </row>
    <row r="63" ht="15.75" customHeight="1">
      <c r="A63" s="21" t="s">
        <v>80</v>
      </c>
      <c r="B63" s="22" t="s">
        <v>19</v>
      </c>
      <c r="C63" s="16">
        <v>60.0</v>
      </c>
      <c r="D63" s="16">
        <v>95.0</v>
      </c>
      <c r="E63" s="16">
        <v>70.0</v>
      </c>
      <c r="F63" s="16">
        <v>30.0</v>
      </c>
      <c r="G63" s="16">
        <v>75.0</v>
      </c>
      <c r="H63" s="16">
        <v>51.26</v>
      </c>
      <c r="I63" s="16">
        <v>35.0</v>
      </c>
      <c r="J63" s="16">
        <v>65.0</v>
      </c>
      <c r="K63" s="16">
        <v>45.73</v>
      </c>
      <c r="L63" s="16">
        <v>40.0</v>
      </c>
      <c r="M63" s="16">
        <v>105.0</v>
      </c>
      <c r="N63" s="16">
        <v>61.12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7"/>
      <c r="AM63" s="18">
        <v>30.0</v>
      </c>
      <c r="AN63" s="19">
        <v>105.0</v>
      </c>
      <c r="AO63" s="20">
        <v>57.0275</v>
      </c>
    </row>
    <row r="64" ht="15.75" customHeight="1">
      <c r="A64" s="21" t="s">
        <v>81</v>
      </c>
      <c r="B64" s="22" t="s">
        <v>19</v>
      </c>
      <c r="C64" s="16">
        <v>80.0</v>
      </c>
      <c r="D64" s="16">
        <v>160.0</v>
      </c>
      <c r="E64" s="16">
        <v>96.09</v>
      </c>
      <c r="F64" s="16">
        <v>135.0</v>
      </c>
      <c r="G64" s="16">
        <v>155.0</v>
      </c>
      <c r="H64" s="16">
        <v>142.4</v>
      </c>
      <c r="I64" s="16">
        <v>135.0</v>
      </c>
      <c r="J64" s="16">
        <v>145.0</v>
      </c>
      <c r="K64" s="16">
        <v>141.25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>
        <v>180.0</v>
      </c>
      <c r="AB64" s="16">
        <v>200.0</v>
      </c>
      <c r="AC64" s="16">
        <v>192.5</v>
      </c>
      <c r="AD64" s="16">
        <v>100.0</v>
      </c>
      <c r="AE64" s="16">
        <v>150.0</v>
      </c>
      <c r="AF64" s="16">
        <v>121.46</v>
      </c>
      <c r="AG64" s="16">
        <v>80.0</v>
      </c>
      <c r="AH64" s="16">
        <v>110.0</v>
      </c>
      <c r="AI64" s="16">
        <v>94.78</v>
      </c>
      <c r="AJ64" s="16">
        <v>95.0</v>
      </c>
      <c r="AK64" s="16">
        <v>140.0</v>
      </c>
      <c r="AL64" s="17">
        <v>111.85</v>
      </c>
      <c r="AM64" s="18">
        <v>80.0</v>
      </c>
      <c r="AN64" s="19">
        <v>200.0</v>
      </c>
      <c r="AO64" s="20">
        <v>128.61857142857144</v>
      </c>
    </row>
    <row r="65" ht="15.75" customHeight="1">
      <c r="A65" s="14" t="s">
        <v>82</v>
      </c>
      <c r="B65" s="22" t="s">
        <v>19</v>
      </c>
      <c r="C65" s="16">
        <v>60.0</v>
      </c>
      <c r="D65" s="16">
        <v>85.0</v>
      </c>
      <c r="E65" s="16">
        <v>70.44</v>
      </c>
      <c r="F65" s="16">
        <v>80.0</v>
      </c>
      <c r="G65" s="16">
        <v>95.0</v>
      </c>
      <c r="H65" s="16">
        <v>85.83</v>
      </c>
      <c r="I65" s="16"/>
      <c r="J65" s="16"/>
      <c r="K65" s="16"/>
      <c r="L65" s="16"/>
      <c r="M65" s="16"/>
      <c r="N65" s="16"/>
      <c r="O65" s="16"/>
      <c r="P65" s="16"/>
      <c r="Q65" s="16"/>
      <c r="R65" s="16">
        <v>60.0</v>
      </c>
      <c r="S65" s="16">
        <v>65.0</v>
      </c>
      <c r="T65" s="16">
        <v>62.5</v>
      </c>
      <c r="U65" s="16">
        <v>20.0</v>
      </c>
      <c r="V65" s="16">
        <v>50.0</v>
      </c>
      <c r="W65" s="16">
        <v>29.65</v>
      </c>
      <c r="X65" s="16">
        <v>22.0</v>
      </c>
      <c r="Y65" s="16">
        <v>45.0</v>
      </c>
      <c r="Z65" s="16">
        <v>33.91</v>
      </c>
      <c r="AA65" s="16">
        <v>28.0</v>
      </c>
      <c r="AB65" s="16">
        <v>58.0</v>
      </c>
      <c r="AC65" s="16">
        <v>40.4</v>
      </c>
      <c r="AD65" s="16">
        <v>38.0</v>
      </c>
      <c r="AE65" s="16">
        <v>70.0</v>
      </c>
      <c r="AF65" s="16">
        <v>53.78</v>
      </c>
      <c r="AG65" s="16">
        <v>50.0</v>
      </c>
      <c r="AH65" s="16">
        <v>80.0</v>
      </c>
      <c r="AI65" s="16">
        <v>66.21</v>
      </c>
      <c r="AJ65" s="16">
        <v>70.0</v>
      </c>
      <c r="AK65" s="16">
        <v>100.0</v>
      </c>
      <c r="AL65" s="17">
        <v>85.96</v>
      </c>
      <c r="AM65" s="18">
        <v>20.0</v>
      </c>
      <c r="AN65" s="19">
        <v>100.0</v>
      </c>
      <c r="AO65" s="20">
        <v>58.74222222222222</v>
      </c>
    </row>
    <row r="66" ht="15.75" customHeight="1">
      <c r="A66" s="14" t="s">
        <v>83</v>
      </c>
      <c r="B66" s="22" t="s">
        <v>19</v>
      </c>
      <c r="C66" s="16">
        <v>8.0</v>
      </c>
      <c r="D66" s="16">
        <v>18.0</v>
      </c>
      <c r="E66" s="16">
        <v>13.72</v>
      </c>
      <c r="F66" s="16">
        <v>7.0</v>
      </c>
      <c r="G66" s="16">
        <v>25.0</v>
      </c>
      <c r="H66" s="16">
        <v>11.18</v>
      </c>
      <c r="I66" s="16">
        <v>20.0</v>
      </c>
      <c r="J66" s="16">
        <v>35.0</v>
      </c>
      <c r="K66" s="16">
        <v>25.99</v>
      </c>
      <c r="L66" s="16">
        <v>30.0</v>
      </c>
      <c r="M66" s="16">
        <v>50.0</v>
      </c>
      <c r="N66" s="16">
        <v>36.98</v>
      </c>
      <c r="O66" s="16">
        <v>40.0</v>
      </c>
      <c r="P66" s="16">
        <v>50.0</v>
      </c>
      <c r="Q66" s="16">
        <v>44.37</v>
      </c>
      <c r="R66" s="16">
        <v>30.0</v>
      </c>
      <c r="S66" s="16">
        <v>50.0</v>
      </c>
      <c r="T66" s="16">
        <v>42.64</v>
      </c>
      <c r="U66" s="16">
        <v>40.0</v>
      </c>
      <c r="V66" s="16">
        <v>50.0</v>
      </c>
      <c r="W66" s="16">
        <v>42.63</v>
      </c>
      <c r="X66" s="16">
        <v>40.0</v>
      </c>
      <c r="Y66" s="16">
        <v>55.0</v>
      </c>
      <c r="Z66" s="16">
        <v>46.35</v>
      </c>
      <c r="AA66" s="16">
        <v>45.0</v>
      </c>
      <c r="AB66" s="16">
        <v>65.0</v>
      </c>
      <c r="AC66" s="16">
        <v>50.28</v>
      </c>
      <c r="AD66" s="16">
        <v>45.0</v>
      </c>
      <c r="AE66" s="16">
        <v>65.0</v>
      </c>
      <c r="AF66" s="16">
        <v>53.13</v>
      </c>
      <c r="AG66" s="16">
        <v>25.0</v>
      </c>
      <c r="AH66" s="16">
        <v>70.0</v>
      </c>
      <c r="AI66" s="16">
        <v>44.03</v>
      </c>
      <c r="AJ66" s="16">
        <v>14.0</v>
      </c>
      <c r="AK66" s="16">
        <v>30.0</v>
      </c>
      <c r="AL66" s="17">
        <v>23.46</v>
      </c>
      <c r="AM66" s="18">
        <v>7.0</v>
      </c>
      <c r="AN66" s="19">
        <v>70.0</v>
      </c>
      <c r="AO66" s="20">
        <v>36.23</v>
      </c>
    </row>
    <row r="67" ht="15.75" customHeight="1">
      <c r="A67" s="21" t="s">
        <v>84</v>
      </c>
      <c r="B67" s="22" t="s">
        <v>19</v>
      </c>
      <c r="C67" s="16">
        <v>40.0</v>
      </c>
      <c r="D67" s="16">
        <v>70.0</v>
      </c>
      <c r="E67" s="16">
        <v>54.08</v>
      </c>
      <c r="F67" s="16">
        <v>60.0</v>
      </c>
      <c r="G67" s="16">
        <v>90.0</v>
      </c>
      <c r="H67" s="16">
        <v>73.3</v>
      </c>
      <c r="I67" s="16">
        <v>60.0</v>
      </c>
      <c r="J67" s="16">
        <v>100.0</v>
      </c>
      <c r="K67" s="16">
        <v>80.54</v>
      </c>
      <c r="L67" s="16">
        <v>60.0</v>
      </c>
      <c r="M67" s="16">
        <v>70.0</v>
      </c>
      <c r="N67" s="16">
        <v>63.56</v>
      </c>
      <c r="O67" s="16">
        <v>50.0</v>
      </c>
      <c r="P67" s="16">
        <v>65.0</v>
      </c>
      <c r="Q67" s="16">
        <v>54.89</v>
      </c>
      <c r="R67" s="16">
        <v>50.0</v>
      </c>
      <c r="S67" s="16">
        <v>70.0</v>
      </c>
      <c r="T67" s="16">
        <v>58.21</v>
      </c>
      <c r="U67" s="16">
        <v>20.0</v>
      </c>
      <c r="V67" s="16">
        <v>75.0</v>
      </c>
      <c r="W67" s="16">
        <v>46.88</v>
      </c>
      <c r="X67" s="16">
        <v>22.0</v>
      </c>
      <c r="Y67" s="16">
        <v>80.0</v>
      </c>
      <c r="Z67" s="16">
        <v>70.06</v>
      </c>
      <c r="AA67" s="16">
        <v>60.0</v>
      </c>
      <c r="AB67" s="16">
        <v>75.0</v>
      </c>
      <c r="AC67" s="16">
        <v>69.13</v>
      </c>
      <c r="AD67" s="16">
        <v>55.0</v>
      </c>
      <c r="AE67" s="16">
        <v>70.0</v>
      </c>
      <c r="AF67" s="16">
        <v>64.21</v>
      </c>
      <c r="AG67" s="16">
        <v>60.0</v>
      </c>
      <c r="AH67" s="16">
        <v>70.0</v>
      </c>
      <c r="AI67" s="16">
        <v>65.95</v>
      </c>
      <c r="AJ67" s="16">
        <v>60.0</v>
      </c>
      <c r="AK67" s="16">
        <v>85.0</v>
      </c>
      <c r="AL67" s="17">
        <v>70.31</v>
      </c>
      <c r="AM67" s="18">
        <v>20.0</v>
      </c>
      <c r="AN67" s="19">
        <v>100.0</v>
      </c>
      <c r="AO67" s="20">
        <v>64.26</v>
      </c>
    </row>
    <row r="68" ht="15.75" customHeight="1">
      <c r="A68" s="14" t="s">
        <v>85</v>
      </c>
      <c r="B68" s="22" t="s">
        <v>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25.0</v>
      </c>
      <c r="V68" s="16">
        <v>42.0</v>
      </c>
      <c r="W68" s="16">
        <v>30.39</v>
      </c>
      <c r="X68" s="16"/>
      <c r="Y68" s="16"/>
      <c r="Z68" s="16"/>
      <c r="AA68" s="16"/>
      <c r="AB68" s="16"/>
      <c r="AC68" s="16"/>
      <c r="AD68" s="16">
        <v>70.0</v>
      </c>
      <c r="AE68" s="16">
        <v>90.0</v>
      </c>
      <c r="AF68" s="16">
        <v>80.0</v>
      </c>
      <c r="AG68" s="16"/>
      <c r="AH68" s="16"/>
      <c r="AI68" s="16"/>
      <c r="AJ68" s="16"/>
      <c r="AK68" s="16"/>
      <c r="AL68" s="17"/>
      <c r="AM68" s="18">
        <v>25.0</v>
      </c>
      <c r="AN68" s="19">
        <v>90.0</v>
      </c>
      <c r="AO68" s="20">
        <v>55.195</v>
      </c>
    </row>
    <row r="69" ht="15.75" customHeight="1">
      <c r="A69" s="21" t="s">
        <v>86</v>
      </c>
      <c r="B69" s="22" t="s">
        <v>19</v>
      </c>
      <c r="C69" s="16">
        <v>45.0</v>
      </c>
      <c r="D69" s="16">
        <v>70.0</v>
      </c>
      <c r="E69" s="16">
        <v>55.92</v>
      </c>
      <c r="F69" s="16">
        <v>35.0</v>
      </c>
      <c r="G69" s="16">
        <v>70.0</v>
      </c>
      <c r="H69" s="16">
        <v>54.3</v>
      </c>
      <c r="I69" s="16">
        <v>50.0</v>
      </c>
      <c r="J69" s="16">
        <v>70.0</v>
      </c>
      <c r="K69" s="16">
        <v>60.65</v>
      </c>
      <c r="L69" s="16">
        <v>55.0</v>
      </c>
      <c r="M69" s="16">
        <v>70.0</v>
      </c>
      <c r="N69" s="16">
        <v>63.46</v>
      </c>
      <c r="O69" s="16">
        <v>40.0</v>
      </c>
      <c r="P69" s="16">
        <v>65.0</v>
      </c>
      <c r="Q69" s="16">
        <v>58.15</v>
      </c>
      <c r="R69" s="16">
        <v>55.0</v>
      </c>
      <c r="S69" s="16">
        <v>70.0</v>
      </c>
      <c r="T69" s="16">
        <v>64.4</v>
      </c>
      <c r="U69" s="16">
        <v>40.0</v>
      </c>
      <c r="V69" s="16">
        <v>75.0</v>
      </c>
      <c r="W69" s="16">
        <v>66.73</v>
      </c>
      <c r="X69" s="16">
        <v>60.0</v>
      </c>
      <c r="Y69" s="16">
        <v>100.0</v>
      </c>
      <c r="Z69" s="16">
        <v>73.96</v>
      </c>
      <c r="AA69" s="16">
        <v>60.0</v>
      </c>
      <c r="AB69" s="16">
        <v>70.0</v>
      </c>
      <c r="AC69" s="16">
        <v>63.37</v>
      </c>
      <c r="AD69" s="16">
        <v>55.0</v>
      </c>
      <c r="AE69" s="16">
        <v>70.0</v>
      </c>
      <c r="AF69" s="16">
        <v>62.23</v>
      </c>
      <c r="AG69" s="16">
        <v>55.0</v>
      </c>
      <c r="AH69" s="16">
        <v>75.0</v>
      </c>
      <c r="AI69" s="16">
        <v>67.31</v>
      </c>
      <c r="AJ69" s="16">
        <v>35.0</v>
      </c>
      <c r="AK69" s="16">
        <v>90.0</v>
      </c>
      <c r="AL69" s="17">
        <v>73.44</v>
      </c>
      <c r="AM69" s="18">
        <v>35.0</v>
      </c>
      <c r="AN69" s="19">
        <v>100.0</v>
      </c>
      <c r="AO69" s="20">
        <v>63.66</v>
      </c>
    </row>
    <row r="70" ht="15.75" customHeight="1">
      <c r="A70" s="14" t="s">
        <v>87</v>
      </c>
      <c r="B70" s="22" t="s">
        <v>19</v>
      </c>
      <c r="C70" s="16">
        <v>8.0</v>
      </c>
      <c r="D70" s="16">
        <v>40.0</v>
      </c>
      <c r="E70" s="16">
        <v>19.55</v>
      </c>
      <c r="F70" s="16">
        <v>16.0</v>
      </c>
      <c r="G70" s="16">
        <v>35.0</v>
      </c>
      <c r="H70" s="16">
        <v>23.79</v>
      </c>
      <c r="I70" s="16">
        <v>28.0</v>
      </c>
      <c r="J70" s="16">
        <v>55.0</v>
      </c>
      <c r="K70" s="16">
        <v>40.31</v>
      </c>
      <c r="L70" s="16">
        <v>25.0</v>
      </c>
      <c r="M70" s="16">
        <v>55.0</v>
      </c>
      <c r="N70" s="16">
        <v>38.16</v>
      </c>
      <c r="O70" s="16">
        <v>18.0</v>
      </c>
      <c r="P70" s="16">
        <v>40.0</v>
      </c>
      <c r="Q70" s="16">
        <v>29.12</v>
      </c>
      <c r="R70" s="16">
        <v>15.0</v>
      </c>
      <c r="S70" s="16">
        <v>48.0</v>
      </c>
      <c r="T70" s="16">
        <v>32.12</v>
      </c>
      <c r="U70" s="16">
        <v>18.0</v>
      </c>
      <c r="V70" s="16">
        <v>60.0</v>
      </c>
      <c r="W70" s="16">
        <v>36.42</v>
      </c>
      <c r="X70" s="16">
        <v>12.0</v>
      </c>
      <c r="Y70" s="16">
        <v>30.0</v>
      </c>
      <c r="Z70" s="16">
        <v>19.55</v>
      </c>
      <c r="AA70" s="16">
        <v>18.0</v>
      </c>
      <c r="AB70" s="16">
        <v>26.0</v>
      </c>
      <c r="AC70" s="16">
        <v>20.38</v>
      </c>
      <c r="AD70" s="16">
        <v>26.0</v>
      </c>
      <c r="AE70" s="16">
        <v>52.0</v>
      </c>
      <c r="AF70" s="16">
        <v>38.9</v>
      </c>
      <c r="AG70" s="16">
        <v>25.0</v>
      </c>
      <c r="AH70" s="16">
        <v>50.0</v>
      </c>
      <c r="AI70" s="16">
        <v>37.92</v>
      </c>
      <c r="AJ70" s="16">
        <v>16.0</v>
      </c>
      <c r="AK70" s="16">
        <v>35.0</v>
      </c>
      <c r="AL70" s="17">
        <v>25.18</v>
      </c>
      <c r="AM70" s="18">
        <v>8.0</v>
      </c>
      <c r="AN70" s="19">
        <v>60.0</v>
      </c>
      <c r="AO70" s="20">
        <v>30.11666666666667</v>
      </c>
    </row>
    <row r="71" ht="15.75" customHeight="1">
      <c r="A71" s="14" t="s">
        <v>88</v>
      </c>
      <c r="B71" s="22" t="s">
        <v>19</v>
      </c>
      <c r="C71" s="16">
        <v>14.0</v>
      </c>
      <c r="D71" s="16">
        <v>40.0</v>
      </c>
      <c r="E71" s="16">
        <v>26.46</v>
      </c>
      <c r="F71" s="16">
        <v>12.0</v>
      </c>
      <c r="G71" s="16">
        <v>25.0</v>
      </c>
      <c r="H71" s="16">
        <v>17.7</v>
      </c>
      <c r="I71" s="16">
        <v>12.0</v>
      </c>
      <c r="J71" s="16">
        <v>24.0</v>
      </c>
      <c r="K71" s="16">
        <v>17.23</v>
      </c>
      <c r="L71" s="16">
        <v>12.0</v>
      </c>
      <c r="M71" s="16">
        <v>25.0</v>
      </c>
      <c r="N71" s="16">
        <v>18.37</v>
      </c>
      <c r="O71" s="16">
        <v>12.0</v>
      </c>
      <c r="P71" s="16">
        <v>18.0</v>
      </c>
      <c r="Q71" s="16">
        <v>15.25</v>
      </c>
      <c r="R71" s="16"/>
      <c r="S71" s="16"/>
      <c r="T71" s="16"/>
      <c r="U71" s="16"/>
      <c r="V71" s="16"/>
      <c r="W71" s="16"/>
      <c r="X71" s="16">
        <v>18.0</v>
      </c>
      <c r="Y71" s="16">
        <v>100.0</v>
      </c>
      <c r="Z71" s="16">
        <v>61.63</v>
      </c>
      <c r="AA71" s="16">
        <v>50.0</v>
      </c>
      <c r="AB71" s="16">
        <v>80.0</v>
      </c>
      <c r="AC71" s="16">
        <v>65.15</v>
      </c>
      <c r="AD71" s="16">
        <v>45.0</v>
      </c>
      <c r="AE71" s="16">
        <v>70.0</v>
      </c>
      <c r="AF71" s="16">
        <v>54.08</v>
      </c>
      <c r="AG71" s="16">
        <v>35.0</v>
      </c>
      <c r="AH71" s="16">
        <v>60.0</v>
      </c>
      <c r="AI71" s="16">
        <v>47.2</v>
      </c>
      <c r="AJ71" s="16">
        <v>35.0</v>
      </c>
      <c r="AK71" s="16">
        <v>55.0</v>
      </c>
      <c r="AL71" s="17">
        <v>42.28</v>
      </c>
      <c r="AM71" s="18">
        <v>12.0</v>
      </c>
      <c r="AN71" s="19">
        <v>100.0</v>
      </c>
      <c r="AO71" s="20">
        <v>36.535</v>
      </c>
    </row>
    <row r="72" ht="15.75" customHeight="1">
      <c r="A72" s="14" t="s">
        <v>89</v>
      </c>
      <c r="B72" s="22" t="s">
        <v>19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20.0</v>
      </c>
      <c r="V72" s="16">
        <v>25.0</v>
      </c>
      <c r="W72" s="16">
        <v>22.5</v>
      </c>
      <c r="X72" s="16">
        <v>18.0</v>
      </c>
      <c r="Y72" s="16">
        <v>30.0</v>
      </c>
      <c r="Z72" s="16">
        <v>22.31</v>
      </c>
      <c r="AA72" s="16">
        <v>20.0</v>
      </c>
      <c r="AB72" s="16">
        <v>25.0</v>
      </c>
      <c r="AC72" s="16">
        <v>22.36</v>
      </c>
      <c r="AD72" s="16">
        <v>20.0</v>
      </c>
      <c r="AE72" s="16">
        <v>25.0</v>
      </c>
      <c r="AF72" s="16">
        <v>22.66</v>
      </c>
      <c r="AG72" s="16">
        <v>20.0</v>
      </c>
      <c r="AH72" s="16">
        <v>30.0</v>
      </c>
      <c r="AI72" s="16">
        <v>23.88</v>
      </c>
      <c r="AJ72" s="16"/>
      <c r="AK72" s="16"/>
      <c r="AL72" s="17"/>
      <c r="AM72" s="18">
        <v>18.0</v>
      </c>
      <c r="AN72" s="19">
        <v>30.0</v>
      </c>
      <c r="AO72" s="20">
        <v>22.741999999999997</v>
      </c>
    </row>
    <row r="73" ht="15.75" customHeight="1">
      <c r="A73" s="14" t="s">
        <v>90</v>
      </c>
      <c r="B73" s="22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35.0</v>
      </c>
      <c r="V73" s="16">
        <v>45.0</v>
      </c>
      <c r="W73" s="16">
        <v>40.0</v>
      </c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7"/>
      <c r="AM73" s="18">
        <v>35.0</v>
      </c>
      <c r="AN73" s="19">
        <v>45.0</v>
      </c>
      <c r="AO73" s="20">
        <v>40.0</v>
      </c>
    </row>
    <row r="74" ht="15.75" customHeight="1">
      <c r="A74" s="14" t="s">
        <v>91</v>
      </c>
      <c r="B74" s="22" t="s">
        <v>19</v>
      </c>
      <c r="C74" s="16">
        <v>90.0</v>
      </c>
      <c r="D74" s="16">
        <v>140.0</v>
      </c>
      <c r="E74" s="16">
        <v>100.88</v>
      </c>
      <c r="F74" s="16">
        <v>105.0</v>
      </c>
      <c r="G74" s="16">
        <v>125.0</v>
      </c>
      <c r="H74" s="16">
        <v>112.3</v>
      </c>
      <c r="I74" s="16">
        <v>22.0</v>
      </c>
      <c r="J74" s="16">
        <v>120.0</v>
      </c>
      <c r="K74" s="16">
        <v>63.63</v>
      </c>
      <c r="L74" s="16">
        <v>16.0</v>
      </c>
      <c r="M74" s="16">
        <v>25.0</v>
      </c>
      <c r="N74" s="16">
        <v>21.07</v>
      </c>
      <c r="O74" s="16">
        <v>18.0</v>
      </c>
      <c r="P74" s="16">
        <v>30.0</v>
      </c>
      <c r="Q74" s="16">
        <v>23.36</v>
      </c>
      <c r="R74" s="16">
        <v>25.0</v>
      </c>
      <c r="S74" s="16">
        <v>110.0</v>
      </c>
      <c r="T74" s="16">
        <v>84.24</v>
      </c>
      <c r="U74" s="16">
        <v>90.0</v>
      </c>
      <c r="V74" s="16">
        <v>100.0</v>
      </c>
      <c r="W74" s="16">
        <v>93.75</v>
      </c>
      <c r="X74" s="16">
        <v>55.0</v>
      </c>
      <c r="Y74" s="16">
        <v>130.0</v>
      </c>
      <c r="Z74" s="16">
        <v>106.56</v>
      </c>
      <c r="AA74" s="16">
        <v>90.0</v>
      </c>
      <c r="AB74" s="16">
        <v>100.0</v>
      </c>
      <c r="AC74" s="16">
        <v>95.43</v>
      </c>
      <c r="AD74" s="16">
        <v>90.0</v>
      </c>
      <c r="AE74" s="16">
        <v>120.0</v>
      </c>
      <c r="AF74" s="16">
        <v>101.48</v>
      </c>
      <c r="AG74" s="16">
        <v>90.0</v>
      </c>
      <c r="AH74" s="16">
        <v>120.0</v>
      </c>
      <c r="AI74" s="16">
        <v>107.83</v>
      </c>
      <c r="AJ74" s="16">
        <v>100.0</v>
      </c>
      <c r="AK74" s="16">
        <v>125.0</v>
      </c>
      <c r="AL74" s="17">
        <v>115.21</v>
      </c>
      <c r="AM74" s="18">
        <v>16.0</v>
      </c>
      <c r="AN74" s="19">
        <v>140.0</v>
      </c>
      <c r="AO74" s="20">
        <v>85.47833333333334</v>
      </c>
    </row>
    <row r="75" ht="15.75" customHeight="1">
      <c r="A75" s="14" t="s">
        <v>92</v>
      </c>
      <c r="B75" s="22" t="s">
        <v>19</v>
      </c>
      <c r="C75" s="16">
        <v>20.0</v>
      </c>
      <c r="D75" s="16">
        <v>30.0</v>
      </c>
      <c r="E75" s="16">
        <v>23.98</v>
      </c>
      <c r="F75" s="16">
        <v>22.0</v>
      </c>
      <c r="G75" s="16">
        <v>45.0</v>
      </c>
      <c r="H75" s="16">
        <v>33.71</v>
      </c>
      <c r="I75" s="16">
        <v>35.0</v>
      </c>
      <c r="J75" s="16">
        <v>50.0</v>
      </c>
      <c r="K75" s="16">
        <v>42.74</v>
      </c>
      <c r="L75" s="16">
        <v>14.0</v>
      </c>
      <c r="M75" s="16">
        <v>50.0</v>
      </c>
      <c r="N75" s="16">
        <v>42.51</v>
      </c>
      <c r="O75" s="16">
        <v>30.0</v>
      </c>
      <c r="P75" s="16">
        <v>50.0</v>
      </c>
      <c r="Q75" s="16">
        <v>40.17</v>
      </c>
      <c r="R75" s="16">
        <v>16.0</v>
      </c>
      <c r="S75" s="16">
        <v>45.0</v>
      </c>
      <c r="T75" s="16">
        <v>26.9</v>
      </c>
      <c r="U75" s="16">
        <v>16.0</v>
      </c>
      <c r="V75" s="16">
        <v>45.0</v>
      </c>
      <c r="W75" s="16">
        <v>22.31</v>
      </c>
      <c r="X75" s="16">
        <v>15.0</v>
      </c>
      <c r="Y75" s="16">
        <v>25.0</v>
      </c>
      <c r="Z75" s="16">
        <v>19.31</v>
      </c>
      <c r="AA75" s="16">
        <v>18.0</v>
      </c>
      <c r="AB75" s="16">
        <v>30.0</v>
      </c>
      <c r="AC75" s="16">
        <v>20.99</v>
      </c>
      <c r="AD75" s="16">
        <v>18.0</v>
      </c>
      <c r="AE75" s="16">
        <v>65.0</v>
      </c>
      <c r="AF75" s="16">
        <v>23.36</v>
      </c>
      <c r="AG75" s="16">
        <v>20.0</v>
      </c>
      <c r="AH75" s="16">
        <v>28.0</v>
      </c>
      <c r="AI75" s="16">
        <v>23.85</v>
      </c>
      <c r="AJ75" s="16">
        <v>24.0</v>
      </c>
      <c r="AK75" s="16">
        <v>30.0</v>
      </c>
      <c r="AL75" s="17">
        <v>26.82</v>
      </c>
      <c r="AM75" s="18">
        <v>14.0</v>
      </c>
      <c r="AN75" s="19">
        <v>65.0</v>
      </c>
      <c r="AO75" s="20">
        <v>28.8875</v>
      </c>
    </row>
    <row r="76" ht="15.75" customHeight="1">
      <c r="A76" s="14" t="s">
        <v>93</v>
      </c>
      <c r="B76" s="22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>
        <v>28.0</v>
      </c>
      <c r="M76" s="16">
        <v>30.0</v>
      </c>
      <c r="N76" s="16">
        <v>29.0</v>
      </c>
      <c r="O76" s="16">
        <v>18.0</v>
      </c>
      <c r="P76" s="16">
        <v>35.0</v>
      </c>
      <c r="Q76" s="16">
        <v>25.21</v>
      </c>
      <c r="R76" s="16">
        <v>24.0</v>
      </c>
      <c r="S76" s="16">
        <v>35.0</v>
      </c>
      <c r="T76" s="16">
        <v>31.27</v>
      </c>
      <c r="U76" s="16"/>
      <c r="V76" s="16"/>
      <c r="W76" s="16"/>
      <c r="X76" s="16"/>
      <c r="Y76" s="16"/>
      <c r="Z76" s="16"/>
      <c r="AA76" s="16">
        <v>24.0</v>
      </c>
      <c r="AB76" s="16">
        <v>35.0</v>
      </c>
      <c r="AC76" s="16">
        <v>28.9</v>
      </c>
      <c r="AD76" s="16">
        <v>24.0</v>
      </c>
      <c r="AE76" s="16">
        <v>30.0</v>
      </c>
      <c r="AF76" s="16">
        <v>26.67</v>
      </c>
      <c r="AG76" s="16"/>
      <c r="AH76" s="16"/>
      <c r="AI76" s="16"/>
      <c r="AJ76" s="16"/>
      <c r="AK76" s="16"/>
      <c r="AL76" s="17"/>
      <c r="AM76" s="18">
        <v>18.0</v>
      </c>
      <c r="AN76" s="19">
        <v>35.0</v>
      </c>
      <c r="AO76" s="20">
        <v>28.21</v>
      </c>
    </row>
    <row r="77" ht="15.75" customHeight="1">
      <c r="A77" s="14" t="s">
        <v>94</v>
      </c>
      <c r="B77" s="22" t="s">
        <v>19</v>
      </c>
      <c r="C77" s="16"/>
      <c r="D77" s="16"/>
      <c r="E77" s="16"/>
      <c r="F77" s="16"/>
      <c r="G77" s="16"/>
      <c r="H77" s="16"/>
      <c r="I77" s="16"/>
      <c r="J77" s="16"/>
      <c r="K77" s="16"/>
      <c r="L77" s="16">
        <v>12.0</v>
      </c>
      <c r="M77" s="16">
        <v>24.0</v>
      </c>
      <c r="N77" s="16">
        <v>16.69</v>
      </c>
      <c r="O77" s="16">
        <v>12.0</v>
      </c>
      <c r="P77" s="16">
        <v>20.0</v>
      </c>
      <c r="Q77" s="16">
        <v>18.09</v>
      </c>
      <c r="R77" s="16">
        <v>12.0</v>
      </c>
      <c r="S77" s="16">
        <v>20.0</v>
      </c>
      <c r="T77" s="16">
        <v>17.11</v>
      </c>
      <c r="U77" s="16">
        <v>14.0</v>
      </c>
      <c r="V77" s="16">
        <v>25.0</v>
      </c>
      <c r="W77" s="16">
        <v>18.63</v>
      </c>
      <c r="X77" s="16">
        <v>16.0</v>
      </c>
      <c r="Y77" s="16">
        <v>25.0</v>
      </c>
      <c r="Z77" s="16">
        <v>18.85</v>
      </c>
      <c r="AA77" s="16">
        <v>16.0</v>
      </c>
      <c r="AB77" s="16">
        <v>22.0</v>
      </c>
      <c r="AC77" s="16">
        <v>18.32</v>
      </c>
      <c r="AD77" s="16">
        <v>16.0</v>
      </c>
      <c r="AE77" s="16">
        <v>28.0</v>
      </c>
      <c r="AF77" s="16">
        <v>20.54</v>
      </c>
      <c r="AG77" s="16">
        <v>18.0</v>
      </c>
      <c r="AH77" s="16">
        <v>65.0</v>
      </c>
      <c r="AI77" s="16">
        <v>31.99</v>
      </c>
      <c r="AJ77" s="16">
        <v>70.0</v>
      </c>
      <c r="AK77" s="16">
        <v>100.0</v>
      </c>
      <c r="AL77" s="17">
        <v>91.25</v>
      </c>
      <c r="AM77" s="18">
        <v>12.0</v>
      </c>
      <c r="AN77" s="19">
        <v>100.0</v>
      </c>
      <c r="AO77" s="20">
        <v>27.941111111111113</v>
      </c>
    </row>
    <row r="78" ht="15.75" customHeight="1">
      <c r="A78" s="14" t="s">
        <v>95</v>
      </c>
      <c r="B78" s="22" t="s">
        <v>19</v>
      </c>
      <c r="C78" s="16">
        <v>40.0</v>
      </c>
      <c r="D78" s="16">
        <v>60.0</v>
      </c>
      <c r="E78" s="16">
        <v>45.0</v>
      </c>
      <c r="F78" s="16">
        <v>60.0</v>
      </c>
      <c r="G78" s="16">
        <v>65.0</v>
      </c>
      <c r="H78" s="16">
        <v>62.5</v>
      </c>
      <c r="I78" s="16">
        <v>50.0</v>
      </c>
      <c r="J78" s="16">
        <v>65.0</v>
      </c>
      <c r="K78" s="16">
        <v>57.5</v>
      </c>
      <c r="L78" s="16">
        <v>60.0</v>
      </c>
      <c r="M78" s="16">
        <v>70.0</v>
      </c>
      <c r="N78" s="16">
        <v>66.5</v>
      </c>
      <c r="O78" s="16">
        <v>55.0</v>
      </c>
      <c r="P78" s="16">
        <v>65.0</v>
      </c>
      <c r="Q78" s="16">
        <v>60.0</v>
      </c>
      <c r="R78" s="16">
        <v>60.0</v>
      </c>
      <c r="S78" s="16">
        <v>70.0</v>
      </c>
      <c r="T78" s="16">
        <v>65.63</v>
      </c>
      <c r="U78" s="16">
        <v>30.0</v>
      </c>
      <c r="V78" s="16">
        <v>50.0</v>
      </c>
      <c r="W78" s="16">
        <v>41.11</v>
      </c>
      <c r="X78" s="16">
        <v>35.0</v>
      </c>
      <c r="Y78" s="16">
        <v>70.0</v>
      </c>
      <c r="Z78" s="16">
        <v>43.25</v>
      </c>
      <c r="AA78" s="16">
        <v>35.0</v>
      </c>
      <c r="AB78" s="16">
        <v>45.0</v>
      </c>
      <c r="AC78" s="16">
        <v>37.73</v>
      </c>
      <c r="AD78" s="16">
        <v>30.0</v>
      </c>
      <c r="AE78" s="16">
        <v>40.0</v>
      </c>
      <c r="AF78" s="16">
        <v>35.27</v>
      </c>
      <c r="AG78" s="16">
        <v>30.0</v>
      </c>
      <c r="AH78" s="16">
        <v>40.0</v>
      </c>
      <c r="AI78" s="16">
        <v>36.8</v>
      </c>
      <c r="AJ78" s="16">
        <v>35.0</v>
      </c>
      <c r="AK78" s="16">
        <v>50.0</v>
      </c>
      <c r="AL78" s="17">
        <v>40.56</v>
      </c>
      <c r="AM78" s="18">
        <v>30.0</v>
      </c>
      <c r="AN78" s="19">
        <v>70.0</v>
      </c>
      <c r="AO78" s="20">
        <v>49.320833333333326</v>
      </c>
    </row>
    <row r="79" ht="15.75" customHeight="1">
      <c r="A79" s="14" t="s">
        <v>96</v>
      </c>
      <c r="B79" s="22" t="s">
        <v>19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>
        <v>75.0</v>
      </c>
      <c r="AH79" s="16">
        <v>95.0</v>
      </c>
      <c r="AI79" s="16">
        <v>86.11</v>
      </c>
      <c r="AJ79" s="16">
        <v>90.0</v>
      </c>
      <c r="AK79" s="16">
        <v>100.0</v>
      </c>
      <c r="AL79" s="17">
        <v>93.75</v>
      </c>
      <c r="AM79" s="18">
        <v>75.0</v>
      </c>
      <c r="AN79" s="19">
        <v>100.0</v>
      </c>
      <c r="AO79" s="20">
        <v>89.93</v>
      </c>
    </row>
    <row r="80" ht="15.75" customHeight="1">
      <c r="A80" s="14" t="s">
        <v>97</v>
      </c>
      <c r="B80" s="22" t="s">
        <v>19</v>
      </c>
      <c r="C80" s="16">
        <v>68.0</v>
      </c>
      <c r="D80" s="16">
        <v>100.0</v>
      </c>
      <c r="E80" s="16">
        <v>80.43</v>
      </c>
      <c r="F80" s="16">
        <v>80.0</v>
      </c>
      <c r="G80" s="16">
        <v>125.0</v>
      </c>
      <c r="H80" s="16">
        <v>104.5</v>
      </c>
      <c r="I80" s="16">
        <v>65.0</v>
      </c>
      <c r="J80" s="16">
        <v>110.0</v>
      </c>
      <c r="K80" s="16">
        <v>81.47</v>
      </c>
      <c r="L80" s="16">
        <v>68.0</v>
      </c>
      <c r="M80" s="16">
        <v>90.0</v>
      </c>
      <c r="N80" s="16">
        <v>79.95</v>
      </c>
      <c r="O80" s="16">
        <v>50.0</v>
      </c>
      <c r="P80" s="16">
        <v>85.0</v>
      </c>
      <c r="Q80" s="16">
        <v>66.08</v>
      </c>
      <c r="R80" s="16">
        <v>40.0</v>
      </c>
      <c r="S80" s="16">
        <v>65.0</v>
      </c>
      <c r="T80" s="16">
        <v>52.97</v>
      </c>
      <c r="U80" s="16">
        <v>38.0</v>
      </c>
      <c r="V80" s="16">
        <v>60.0</v>
      </c>
      <c r="W80" s="16">
        <v>48.28</v>
      </c>
      <c r="X80" s="16">
        <v>35.0</v>
      </c>
      <c r="Y80" s="16">
        <v>60.0</v>
      </c>
      <c r="Z80" s="16">
        <v>46.94</v>
      </c>
      <c r="AA80" s="16">
        <v>40.0</v>
      </c>
      <c r="AB80" s="16">
        <v>54.0</v>
      </c>
      <c r="AC80" s="16">
        <v>48.1</v>
      </c>
      <c r="AD80" s="16">
        <v>38.0</v>
      </c>
      <c r="AE80" s="16">
        <v>52.0</v>
      </c>
      <c r="AF80" s="16">
        <v>45.9</v>
      </c>
      <c r="AG80" s="16">
        <v>38.0</v>
      </c>
      <c r="AH80" s="16">
        <v>52.0</v>
      </c>
      <c r="AI80" s="16">
        <v>45.6</v>
      </c>
      <c r="AJ80" s="16">
        <v>40.0</v>
      </c>
      <c r="AK80" s="16">
        <v>54.0</v>
      </c>
      <c r="AL80" s="17">
        <v>47.31</v>
      </c>
      <c r="AM80" s="18">
        <v>35.0</v>
      </c>
      <c r="AN80" s="19">
        <v>125.0</v>
      </c>
      <c r="AO80" s="20">
        <v>62.29416666666666</v>
      </c>
    </row>
    <row r="81" ht="15.75" customHeight="1">
      <c r="A81" s="14" t="s">
        <v>98</v>
      </c>
      <c r="B81" s="22" t="s">
        <v>19</v>
      </c>
      <c r="C81" s="16">
        <v>108.0</v>
      </c>
      <c r="D81" s="16">
        <v>134.0</v>
      </c>
      <c r="E81" s="16">
        <v>115.97</v>
      </c>
      <c r="F81" s="16">
        <v>105.0</v>
      </c>
      <c r="G81" s="16">
        <v>120.0</v>
      </c>
      <c r="H81" s="16">
        <v>110.55</v>
      </c>
      <c r="I81" s="16">
        <v>108.0</v>
      </c>
      <c r="J81" s="16">
        <v>120.0</v>
      </c>
      <c r="K81" s="16">
        <v>116.09</v>
      </c>
      <c r="L81" s="16">
        <v>114.0</v>
      </c>
      <c r="M81" s="16">
        <v>120.0</v>
      </c>
      <c r="N81" s="16">
        <v>117.62</v>
      </c>
      <c r="O81" s="16">
        <v>108.0</v>
      </c>
      <c r="P81" s="16">
        <v>120.0</v>
      </c>
      <c r="Q81" s="16">
        <v>114.47</v>
      </c>
      <c r="R81" s="16">
        <v>110.0</v>
      </c>
      <c r="S81" s="16">
        <v>120.0</v>
      </c>
      <c r="T81" s="16">
        <v>114.65</v>
      </c>
      <c r="U81" s="16">
        <v>112.0</v>
      </c>
      <c r="V81" s="16">
        <v>116.0</v>
      </c>
      <c r="W81" s="16">
        <v>114.61</v>
      </c>
      <c r="X81" s="16">
        <v>114.0</v>
      </c>
      <c r="Y81" s="16">
        <v>130.0</v>
      </c>
      <c r="Z81" s="16">
        <v>123.38</v>
      </c>
      <c r="AA81" s="16">
        <v>124.0</v>
      </c>
      <c r="AB81" s="16">
        <v>160.0</v>
      </c>
      <c r="AC81" s="16">
        <v>145.54</v>
      </c>
      <c r="AD81" s="16">
        <v>155.0</v>
      </c>
      <c r="AE81" s="16">
        <v>190.0</v>
      </c>
      <c r="AF81" s="16">
        <v>160.43</v>
      </c>
      <c r="AG81" s="16">
        <v>60.0</v>
      </c>
      <c r="AH81" s="16">
        <v>200.0</v>
      </c>
      <c r="AI81" s="16">
        <v>184.74</v>
      </c>
      <c r="AJ81" s="16">
        <v>100.0</v>
      </c>
      <c r="AK81" s="16">
        <v>190.0</v>
      </c>
      <c r="AL81" s="17">
        <v>178.6</v>
      </c>
      <c r="AM81" s="18">
        <v>60.0</v>
      </c>
      <c r="AN81" s="19">
        <v>200.0</v>
      </c>
      <c r="AO81" s="20">
        <v>133.05416666666667</v>
      </c>
    </row>
    <row r="82" ht="15.75" customHeight="1">
      <c r="A82" s="14" t="s">
        <v>99</v>
      </c>
      <c r="B82" s="22" t="s">
        <v>19</v>
      </c>
      <c r="C82" s="16">
        <v>30.0</v>
      </c>
      <c r="D82" s="16">
        <v>200.0</v>
      </c>
      <c r="E82" s="16">
        <v>59.29</v>
      </c>
      <c r="F82" s="16">
        <v>16.0</v>
      </c>
      <c r="G82" s="16">
        <v>60.0</v>
      </c>
      <c r="H82" s="16">
        <v>29.51</v>
      </c>
      <c r="I82" s="16">
        <v>20.0</v>
      </c>
      <c r="J82" s="16">
        <v>70.0</v>
      </c>
      <c r="K82" s="16">
        <v>38.04</v>
      </c>
      <c r="L82" s="16">
        <v>35.0</v>
      </c>
      <c r="M82" s="16">
        <v>60.0</v>
      </c>
      <c r="N82" s="16">
        <v>43.84</v>
      </c>
      <c r="O82" s="16">
        <v>38.0</v>
      </c>
      <c r="P82" s="16">
        <v>90.0</v>
      </c>
      <c r="Q82" s="16">
        <v>59.06</v>
      </c>
      <c r="R82" s="16">
        <v>38.0</v>
      </c>
      <c r="S82" s="16">
        <v>82.0</v>
      </c>
      <c r="T82" s="16">
        <v>56.54</v>
      </c>
      <c r="U82" s="16">
        <v>22.0</v>
      </c>
      <c r="V82" s="16">
        <v>40.0</v>
      </c>
      <c r="W82" s="16">
        <v>28.97</v>
      </c>
      <c r="X82" s="16">
        <v>14.0</v>
      </c>
      <c r="Y82" s="16">
        <v>32.0</v>
      </c>
      <c r="Z82" s="16">
        <v>21.85</v>
      </c>
      <c r="AA82" s="16">
        <v>20.0</v>
      </c>
      <c r="AB82" s="16">
        <v>50.0</v>
      </c>
      <c r="AC82" s="16">
        <v>29.18</v>
      </c>
      <c r="AD82" s="16">
        <v>28.0</v>
      </c>
      <c r="AE82" s="16">
        <v>45.0</v>
      </c>
      <c r="AF82" s="16">
        <v>34.16</v>
      </c>
      <c r="AG82" s="16">
        <v>30.0</v>
      </c>
      <c r="AH82" s="16">
        <v>80.0</v>
      </c>
      <c r="AI82" s="16">
        <v>49.01</v>
      </c>
      <c r="AJ82" s="16">
        <v>20.0</v>
      </c>
      <c r="AK82" s="16">
        <v>60.0</v>
      </c>
      <c r="AL82" s="17">
        <v>32.27</v>
      </c>
      <c r="AM82" s="18">
        <v>14.0</v>
      </c>
      <c r="AN82" s="19">
        <v>200.0</v>
      </c>
      <c r="AO82" s="20">
        <v>40.14333333333334</v>
      </c>
    </row>
    <row r="83" ht="15.75" customHeight="1">
      <c r="A83" s="14" t="s">
        <v>100</v>
      </c>
      <c r="B83" s="22" t="s">
        <v>19</v>
      </c>
      <c r="C83" s="16">
        <v>40.0</v>
      </c>
      <c r="D83" s="16">
        <v>100.0</v>
      </c>
      <c r="E83" s="16">
        <v>67.59</v>
      </c>
      <c r="F83" s="16">
        <v>30.0</v>
      </c>
      <c r="G83" s="16">
        <v>90.0</v>
      </c>
      <c r="H83" s="16">
        <v>52.4</v>
      </c>
      <c r="I83" s="16">
        <v>35.0</v>
      </c>
      <c r="J83" s="16">
        <v>95.0</v>
      </c>
      <c r="K83" s="16">
        <v>61.22</v>
      </c>
      <c r="L83" s="16">
        <v>40.0</v>
      </c>
      <c r="M83" s="16">
        <v>80.0</v>
      </c>
      <c r="N83" s="16">
        <v>54.85</v>
      </c>
      <c r="O83" s="16">
        <v>35.0</v>
      </c>
      <c r="P83" s="16">
        <v>125.0</v>
      </c>
      <c r="Q83" s="16">
        <v>69.31</v>
      </c>
      <c r="R83" s="16">
        <v>100.0</v>
      </c>
      <c r="S83" s="16">
        <v>130.0</v>
      </c>
      <c r="T83" s="16">
        <v>122.5</v>
      </c>
      <c r="U83" s="16">
        <v>40.0</v>
      </c>
      <c r="V83" s="16">
        <v>190.0</v>
      </c>
      <c r="W83" s="16">
        <v>102.98</v>
      </c>
      <c r="X83" s="16">
        <v>24.0</v>
      </c>
      <c r="Y83" s="16">
        <v>44.0</v>
      </c>
      <c r="Z83" s="16">
        <v>36.54</v>
      </c>
      <c r="AA83" s="16">
        <v>35.0</v>
      </c>
      <c r="AB83" s="16">
        <v>60.0</v>
      </c>
      <c r="AC83" s="16">
        <v>46.84</v>
      </c>
      <c r="AD83" s="16">
        <v>28.0</v>
      </c>
      <c r="AE83" s="16">
        <v>65.0</v>
      </c>
      <c r="AF83" s="16">
        <v>47.42</v>
      </c>
      <c r="AG83" s="16">
        <v>25.0</v>
      </c>
      <c r="AH83" s="16">
        <v>55.0</v>
      </c>
      <c r="AI83" s="16">
        <v>35.62</v>
      </c>
      <c r="AJ83" s="16">
        <v>35.0</v>
      </c>
      <c r="AK83" s="16">
        <v>80.0</v>
      </c>
      <c r="AL83" s="17">
        <v>54.28</v>
      </c>
      <c r="AM83" s="18">
        <v>24.0</v>
      </c>
      <c r="AN83" s="19">
        <v>190.0</v>
      </c>
      <c r="AO83" s="20">
        <v>62.62916666666666</v>
      </c>
    </row>
    <row r="84" ht="15.75" customHeight="1">
      <c r="A84" s="14" t="s">
        <v>101</v>
      </c>
      <c r="B84" s="22" t="s">
        <v>19</v>
      </c>
      <c r="C84" s="16">
        <v>35.0</v>
      </c>
      <c r="D84" s="16">
        <v>45.0</v>
      </c>
      <c r="E84" s="16">
        <v>41.33</v>
      </c>
      <c r="F84" s="16">
        <v>25.0</v>
      </c>
      <c r="G84" s="16">
        <v>50.0</v>
      </c>
      <c r="H84" s="16">
        <v>37.33</v>
      </c>
      <c r="I84" s="16">
        <v>30.0</v>
      </c>
      <c r="J84" s="16">
        <v>45.0</v>
      </c>
      <c r="K84" s="16">
        <v>36.99</v>
      </c>
      <c r="L84" s="16">
        <v>35.0</v>
      </c>
      <c r="M84" s="16">
        <v>50.0</v>
      </c>
      <c r="N84" s="16">
        <v>42.08</v>
      </c>
      <c r="O84" s="16">
        <v>35.0</v>
      </c>
      <c r="P84" s="16">
        <v>60.0</v>
      </c>
      <c r="Q84" s="16">
        <v>46.74</v>
      </c>
      <c r="R84" s="16">
        <v>40.0</v>
      </c>
      <c r="S84" s="16">
        <v>70.0</v>
      </c>
      <c r="T84" s="16">
        <v>55.71</v>
      </c>
      <c r="U84" s="16">
        <v>40.0</v>
      </c>
      <c r="V84" s="16">
        <v>80.0</v>
      </c>
      <c r="W84" s="16">
        <v>67.23</v>
      </c>
      <c r="X84" s="16">
        <v>60.0</v>
      </c>
      <c r="Y84" s="16">
        <v>90.0</v>
      </c>
      <c r="Z84" s="16">
        <v>73.33</v>
      </c>
      <c r="AA84" s="16">
        <v>55.0</v>
      </c>
      <c r="AB84" s="16">
        <v>80.0</v>
      </c>
      <c r="AC84" s="16">
        <v>69.55</v>
      </c>
      <c r="AD84" s="16">
        <v>55.0</v>
      </c>
      <c r="AE84" s="16">
        <v>90.0</v>
      </c>
      <c r="AF84" s="16">
        <v>75.46</v>
      </c>
      <c r="AG84" s="16">
        <v>35.0</v>
      </c>
      <c r="AH84" s="16">
        <v>70.0</v>
      </c>
      <c r="AI84" s="16">
        <v>52.64</v>
      </c>
      <c r="AJ84" s="16">
        <v>25.0</v>
      </c>
      <c r="AK84" s="16">
        <v>50.0</v>
      </c>
      <c r="AL84" s="17">
        <v>40.35</v>
      </c>
      <c r="AM84" s="18">
        <v>25.0</v>
      </c>
      <c r="AN84" s="19">
        <v>90.0</v>
      </c>
      <c r="AO84" s="20">
        <v>53.22833333333333</v>
      </c>
    </row>
    <row r="85" ht="15.75" customHeight="1">
      <c r="A85" s="14" t="s">
        <v>102</v>
      </c>
      <c r="B85" s="22" t="s">
        <v>19</v>
      </c>
      <c r="C85" s="16">
        <v>30.0</v>
      </c>
      <c r="D85" s="16">
        <v>70.0</v>
      </c>
      <c r="E85" s="16">
        <v>40.52</v>
      </c>
      <c r="F85" s="16">
        <v>50.0</v>
      </c>
      <c r="G85" s="16">
        <v>90.0</v>
      </c>
      <c r="H85" s="16">
        <v>67.6</v>
      </c>
      <c r="I85" s="16">
        <v>60.0</v>
      </c>
      <c r="J85" s="16">
        <v>95.0</v>
      </c>
      <c r="K85" s="16">
        <v>76.76</v>
      </c>
      <c r="L85" s="16">
        <v>40.0</v>
      </c>
      <c r="M85" s="16">
        <v>70.0</v>
      </c>
      <c r="N85" s="16">
        <v>56.91</v>
      </c>
      <c r="O85" s="16">
        <v>40.0</v>
      </c>
      <c r="P85" s="16">
        <v>175.0</v>
      </c>
      <c r="Q85" s="16">
        <v>112.36</v>
      </c>
      <c r="R85" s="16">
        <v>50.0</v>
      </c>
      <c r="S85" s="16">
        <v>125.0</v>
      </c>
      <c r="T85" s="16">
        <v>93.1</v>
      </c>
      <c r="U85" s="16">
        <v>40.0</v>
      </c>
      <c r="V85" s="16">
        <v>80.0</v>
      </c>
      <c r="W85" s="16">
        <v>55.79</v>
      </c>
      <c r="X85" s="16">
        <v>40.0</v>
      </c>
      <c r="Y85" s="16">
        <v>100.0</v>
      </c>
      <c r="Z85" s="16">
        <v>63.44</v>
      </c>
      <c r="AA85" s="16">
        <v>65.0</v>
      </c>
      <c r="AB85" s="16">
        <v>100.0</v>
      </c>
      <c r="AC85" s="16">
        <v>89.76</v>
      </c>
      <c r="AD85" s="16">
        <v>55.0</v>
      </c>
      <c r="AE85" s="16">
        <v>100.0</v>
      </c>
      <c r="AF85" s="16">
        <v>82.99</v>
      </c>
      <c r="AG85" s="16">
        <v>35.0</v>
      </c>
      <c r="AH85" s="16">
        <v>85.0</v>
      </c>
      <c r="AI85" s="16">
        <v>53.01</v>
      </c>
      <c r="AJ85" s="16">
        <v>15.0</v>
      </c>
      <c r="AK85" s="16">
        <v>70.0</v>
      </c>
      <c r="AL85" s="17">
        <v>35.08</v>
      </c>
      <c r="AM85" s="18">
        <v>15.0</v>
      </c>
      <c r="AN85" s="19">
        <v>175.0</v>
      </c>
      <c r="AO85" s="20">
        <v>68.94333333333334</v>
      </c>
    </row>
    <row r="86" ht="15.75" customHeight="1">
      <c r="A86" s="14" t="s">
        <v>103</v>
      </c>
      <c r="B86" s="22" t="s">
        <v>19</v>
      </c>
      <c r="C86" s="16">
        <v>135.0</v>
      </c>
      <c r="D86" s="16">
        <v>156.0</v>
      </c>
      <c r="E86" s="16">
        <v>146.24</v>
      </c>
      <c r="F86" s="16">
        <v>135.0</v>
      </c>
      <c r="G86" s="16">
        <v>152.0</v>
      </c>
      <c r="H86" s="16">
        <v>142.96</v>
      </c>
      <c r="I86" s="16">
        <v>125.0</v>
      </c>
      <c r="J86" s="16">
        <v>185.0</v>
      </c>
      <c r="K86" s="16">
        <v>139.18</v>
      </c>
      <c r="L86" s="16">
        <v>168.0</v>
      </c>
      <c r="M86" s="16">
        <v>190.0</v>
      </c>
      <c r="N86" s="16">
        <v>179.0</v>
      </c>
      <c r="O86" s="16">
        <v>165.0</v>
      </c>
      <c r="P86" s="16">
        <v>190.0</v>
      </c>
      <c r="Q86" s="16">
        <v>175.92</v>
      </c>
      <c r="R86" s="16">
        <v>175.0</v>
      </c>
      <c r="S86" s="16">
        <v>200.0</v>
      </c>
      <c r="T86" s="16">
        <v>192.16</v>
      </c>
      <c r="U86" s="16">
        <v>150.0</v>
      </c>
      <c r="V86" s="16">
        <v>185.0</v>
      </c>
      <c r="W86" s="16">
        <v>174.32</v>
      </c>
      <c r="X86" s="16">
        <v>160.0</v>
      </c>
      <c r="Y86" s="16">
        <v>175.0</v>
      </c>
      <c r="Z86" s="16">
        <v>167.85</v>
      </c>
      <c r="AA86" s="16">
        <v>158.0</v>
      </c>
      <c r="AB86" s="16">
        <v>190.0</v>
      </c>
      <c r="AC86" s="16">
        <v>169.62</v>
      </c>
      <c r="AD86" s="16">
        <v>155.0</v>
      </c>
      <c r="AE86" s="16">
        <v>200.0</v>
      </c>
      <c r="AF86" s="16">
        <v>174.64</v>
      </c>
      <c r="AG86" s="16">
        <v>160.0</v>
      </c>
      <c r="AH86" s="16">
        <v>190.0</v>
      </c>
      <c r="AI86" s="16">
        <v>176.88</v>
      </c>
      <c r="AJ86" s="16">
        <v>145.0</v>
      </c>
      <c r="AK86" s="16">
        <v>175.0</v>
      </c>
      <c r="AL86" s="17">
        <v>159.18</v>
      </c>
      <c r="AM86" s="18">
        <v>125.0</v>
      </c>
      <c r="AN86" s="19">
        <v>200.0</v>
      </c>
      <c r="AO86" s="20">
        <v>166.49583333333334</v>
      </c>
    </row>
    <row r="87" ht="15.75" customHeight="1">
      <c r="A87" s="14" t="s">
        <v>104</v>
      </c>
      <c r="B87" s="22" t="s">
        <v>19</v>
      </c>
      <c r="C87" s="16">
        <v>60.0</v>
      </c>
      <c r="D87" s="16">
        <v>120.0</v>
      </c>
      <c r="E87" s="16">
        <v>85.0</v>
      </c>
      <c r="F87" s="16">
        <v>70.0</v>
      </c>
      <c r="G87" s="16">
        <v>100.0</v>
      </c>
      <c r="H87" s="16">
        <v>86.75</v>
      </c>
      <c r="I87" s="16">
        <v>70.0</v>
      </c>
      <c r="J87" s="16">
        <v>135.0</v>
      </c>
      <c r="K87" s="16">
        <v>100.43</v>
      </c>
      <c r="L87" s="16">
        <v>120.0</v>
      </c>
      <c r="M87" s="16">
        <v>155.0</v>
      </c>
      <c r="N87" s="16">
        <v>138.86</v>
      </c>
      <c r="O87" s="16">
        <v>140.0</v>
      </c>
      <c r="P87" s="16">
        <v>175.0</v>
      </c>
      <c r="Q87" s="16">
        <v>157.84</v>
      </c>
      <c r="R87" s="16">
        <v>170.0</v>
      </c>
      <c r="S87" s="16">
        <v>200.0</v>
      </c>
      <c r="T87" s="16">
        <v>183.42</v>
      </c>
      <c r="U87" s="16">
        <v>180.0</v>
      </c>
      <c r="V87" s="16">
        <v>215.0</v>
      </c>
      <c r="W87" s="16">
        <v>194.86</v>
      </c>
      <c r="X87" s="16">
        <v>200.0</v>
      </c>
      <c r="Y87" s="16">
        <v>210.0</v>
      </c>
      <c r="Z87" s="16">
        <v>205.0</v>
      </c>
      <c r="AA87" s="16"/>
      <c r="AB87" s="16"/>
      <c r="AC87" s="16"/>
      <c r="AD87" s="16"/>
      <c r="AE87" s="16"/>
      <c r="AF87" s="16"/>
      <c r="AG87" s="16">
        <v>100.0</v>
      </c>
      <c r="AH87" s="16">
        <v>140.0</v>
      </c>
      <c r="AI87" s="16">
        <v>126.67</v>
      </c>
      <c r="AJ87" s="16">
        <v>100.0</v>
      </c>
      <c r="AK87" s="16">
        <v>125.0</v>
      </c>
      <c r="AL87" s="17">
        <v>116.77</v>
      </c>
      <c r="AM87" s="18">
        <v>60.0</v>
      </c>
      <c r="AN87" s="19">
        <v>215.0</v>
      </c>
      <c r="AO87" s="20">
        <v>139.56</v>
      </c>
    </row>
    <row r="88" ht="15.75" customHeight="1">
      <c r="A88" s="14" t="s">
        <v>105</v>
      </c>
      <c r="B88" s="22" t="s">
        <v>19</v>
      </c>
      <c r="C88" s="16">
        <v>40.0</v>
      </c>
      <c r="D88" s="16">
        <v>55.0</v>
      </c>
      <c r="E88" s="16">
        <v>47.68</v>
      </c>
      <c r="F88" s="16">
        <v>45.0</v>
      </c>
      <c r="G88" s="16">
        <v>70.0</v>
      </c>
      <c r="H88" s="16">
        <v>53.08</v>
      </c>
      <c r="I88" s="16">
        <v>50.0</v>
      </c>
      <c r="J88" s="16">
        <v>70.0</v>
      </c>
      <c r="K88" s="16">
        <v>57.74</v>
      </c>
      <c r="L88" s="16">
        <v>55.0</v>
      </c>
      <c r="M88" s="16">
        <v>75.0</v>
      </c>
      <c r="N88" s="16">
        <v>65.67</v>
      </c>
      <c r="O88" s="16">
        <v>55.0</v>
      </c>
      <c r="P88" s="16">
        <v>70.0</v>
      </c>
      <c r="Q88" s="16">
        <v>66.7</v>
      </c>
      <c r="R88" s="16">
        <v>60.0</v>
      </c>
      <c r="S88" s="16">
        <v>100.0</v>
      </c>
      <c r="T88" s="16">
        <v>89.04</v>
      </c>
      <c r="U88" s="16">
        <v>90.0</v>
      </c>
      <c r="V88" s="16">
        <v>100.0</v>
      </c>
      <c r="W88" s="16">
        <v>95.0</v>
      </c>
      <c r="X88" s="16"/>
      <c r="Y88" s="16"/>
      <c r="Z88" s="16"/>
      <c r="AA88" s="16">
        <v>55.0</v>
      </c>
      <c r="AB88" s="16">
        <v>75.0</v>
      </c>
      <c r="AC88" s="16">
        <v>66.11</v>
      </c>
      <c r="AD88" s="16"/>
      <c r="AE88" s="16"/>
      <c r="AF88" s="16"/>
      <c r="AG88" s="16">
        <v>28.0</v>
      </c>
      <c r="AH88" s="16">
        <v>30.0</v>
      </c>
      <c r="AI88" s="16">
        <v>29.0</v>
      </c>
      <c r="AJ88" s="16">
        <v>85.0</v>
      </c>
      <c r="AK88" s="16">
        <v>100.0</v>
      </c>
      <c r="AL88" s="17">
        <v>92.5</v>
      </c>
      <c r="AM88" s="18">
        <v>28.0</v>
      </c>
      <c r="AN88" s="19">
        <v>100.0</v>
      </c>
      <c r="AO88" s="20">
        <v>66.252</v>
      </c>
    </row>
    <row r="89" ht="15.75" customHeight="1">
      <c r="A89" s="14" t="s">
        <v>106</v>
      </c>
      <c r="B89" s="22" t="s">
        <v>19</v>
      </c>
      <c r="C89" s="16"/>
      <c r="D89" s="16"/>
      <c r="E89" s="16"/>
      <c r="F89" s="16">
        <v>55.0</v>
      </c>
      <c r="G89" s="16">
        <v>60.0</v>
      </c>
      <c r="H89" s="16">
        <v>57.5</v>
      </c>
      <c r="I89" s="16">
        <v>40.0</v>
      </c>
      <c r="J89" s="16">
        <v>45.0</v>
      </c>
      <c r="K89" s="16">
        <v>42.5</v>
      </c>
      <c r="L89" s="16">
        <v>40.0</v>
      </c>
      <c r="M89" s="16">
        <v>80.0</v>
      </c>
      <c r="N89" s="16">
        <v>61.94</v>
      </c>
      <c r="O89" s="16">
        <v>60.0</v>
      </c>
      <c r="P89" s="16">
        <v>80.0</v>
      </c>
      <c r="Q89" s="16">
        <v>67.71</v>
      </c>
      <c r="R89" s="16">
        <v>60.0</v>
      </c>
      <c r="S89" s="16">
        <v>80.0</v>
      </c>
      <c r="T89" s="16">
        <v>72.13</v>
      </c>
      <c r="U89" s="16">
        <v>65.0</v>
      </c>
      <c r="V89" s="16">
        <v>80.0</v>
      </c>
      <c r="W89" s="16">
        <v>72.96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>
        <v>50.0</v>
      </c>
      <c r="AK89" s="16">
        <v>100.0</v>
      </c>
      <c r="AL89" s="17">
        <v>83.72</v>
      </c>
      <c r="AM89" s="18">
        <v>40.0</v>
      </c>
      <c r="AN89" s="19">
        <v>100.0</v>
      </c>
      <c r="AO89" s="20">
        <v>65.49428571428571</v>
      </c>
    </row>
    <row r="90" ht="15.75" customHeight="1">
      <c r="A90" s="14" t="s">
        <v>107</v>
      </c>
      <c r="B90" s="22" t="s">
        <v>19</v>
      </c>
      <c r="C90" s="16">
        <v>140.0</v>
      </c>
      <c r="D90" s="16">
        <v>150.0</v>
      </c>
      <c r="E90" s="16">
        <v>145.6</v>
      </c>
      <c r="F90" s="16">
        <v>140.0</v>
      </c>
      <c r="G90" s="16">
        <v>150.0</v>
      </c>
      <c r="H90" s="16">
        <v>145.78</v>
      </c>
      <c r="I90" s="16">
        <v>140.0</v>
      </c>
      <c r="J90" s="16">
        <v>150.0</v>
      </c>
      <c r="K90" s="16">
        <v>146.93</v>
      </c>
      <c r="L90" s="16">
        <v>140.0</v>
      </c>
      <c r="M90" s="16">
        <v>155.0</v>
      </c>
      <c r="N90" s="16">
        <v>146.34</v>
      </c>
      <c r="O90" s="16">
        <v>140.0</v>
      </c>
      <c r="P90" s="16">
        <v>155.0</v>
      </c>
      <c r="Q90" s="16">
        <v>147.17</v>
      </c>
      <c r="R90" s="16">
        <v>140.0</v>
      </c>
      <c r="S90" s="16">
        <v>155.0</v>
      </c>
      <c r="T90" s="16">
        <v>146.57</v>
      </c>
      <c r="U90" s="16">
        <v>140.0</v>
      </c>
      <c r="V90" s="16">
        <v>150.0</v>
      </c>
      <c r="W90" s="16">
        <v>146.65</v>
      </c>
      <c r="X90" s="16">
        <v>140.0</v>
      </c>
      <c r="Y90" s="16">
        <v>155.0</v>
      </c>
      <c r="Z90" s="16">
        <v>146.96</v>
      </c>
      <c r="AA90" s="16">
        <v>140.0</v>
      </c>
      <c r="AB90" s="16">
        <v>155.0</v>
      </c>
      <c r="AC90" s="16">
        <v>147.56</v>
      </c>
      <c r="AD90" s="16">
        <v>140.0</v>
      </c>
      <c r="AE90" s="16">
        <v>165.0</v>
      </c>
      <c r="AF90" s="16">
        <v>148.7</v>
      </c>
      <c r="AG90" s="16">
        <v>140.0</v>
      </c>
      <c r="AH90" s="16">
        <v>155.0</v>
      </c>
      <c r="AI90" s="16">
        <v>148.8</v>
      </c>
      <c r="AJ90" s="16">
        <v>140.0</v>
      </c>
      <c r="AK90" s="16">
        <v>150.0</v>
      </c>
      <c r="AL90" s="17">
        <v>147.32</v>
      </c>
      <c r="AM90" s="18">
        <v>140.0</v>
      </c>
      <c r="AN90" s="19">
        <v>165.0</v>
      </c>
      <c r="AO90" s="20">
        <v>147.03166666666667</v>
      </c>
    </row>
    <row r="91" ht="15.75" customHeight="1">
      <c r="A91" s="14" t="s">
        <v>108</v>
      </c>
      <c r="B91" s="22" t="s">
        <v>19</v>
      </c>
      <c r="C91" s="16">
        <v>50.0</v>
      </c>
      <c r="D91" s="16">
        <v>65.0</v>
      </c>
      <c r="E91" s="16">
        <v>59.25</v>
      </c>
      <c r="F91" s="16">
        <v>60.0</v>
      </c>
      <c r="G91" s="16">
        <v>65.0</v>
      </c>
      <c r="H91" s="16">
        <v>62.53</v>
      </c>
      <c r="I91" s="16">
        <v>60.0</v>
      </c>
      <c r="J91" s="16">
        <v>70.0</v>
      </c>
      <c r="K91" s="16">
        <v>64.88</v>
      </c>
      <c r="L91" s="16">
        <v>60.0</v>
      </c>
      <c r="M91" s="16">
        <v>70.0</v>
      </c>
      <c r="N91" s="16">
        <v>67.31</v>
      </c>
      <c r="O91" s="16">
        <v>64.0</v>
      </c>
      <c r="P91" s="16">
        <v>70.0</v>
      </c>
      <c r="Q91" s="16">
        <v>67.42</v>
      </c>
      <c r="R91" s="16">
        <v>65.0</v>
      </c>
      <c r="S91" s="16">
        <v>75.0</v>
      </c>
      <c r="T91" s="16">
        <v>70.41</v>
      </c>
      <c r="U91" s="16">
        <v>65.0</v>
      </c>
      <c r="V91" s="16">
        <v>75.0</v>
      </c>
      <c r="W91" s="16">
        <v>69.75</v>
      </c>
      <c r="X91" s="16">
        <v>65.0</v>
      </c>
      <c r="Y91" s="16">
        <v>70.0</v>
      </c>
      <c r="Z91" s="16">
        <v>67.5</v>
      </c>
      <c r="AA91" s="16">
        <v>55.0</v>
      </c>
      <c r="AB91" s="16">
        <v>70.0</v>
      </c>
      <c r="AC91" s="16">
        <v>62.33</v>
      </c>
      <c r="AD91" s="16">
        <v>60.0</v>
      </c>
      <c r="AE91" s="16">
        <v>85.0</v>
      </c>
      <c r="AF91" s="16">
        <v>66.16</v>
      </c>
      <c r="AG91" s="16">
        <v>65.0</v>
      </c>
      <c r="AH91" s="16">
        <v>75.0</v>
      </c>
      <c r="AI91" s="16">
        <v>68.3</v>
      </c>
      <c r="AJ91" s="16">
        <v>65.0</v>
      </c>
      <c r="AK91" s="16">
        <v>70.0</v>
      </c>
      <c r="AL91" s="17">
        <v>68.19</v>
      </c>
      <c r="AM91" s="18">
        <v>50.0</v>
      </c>
      <c r="AN91" s="19">
        <v>85.0</v>
      </c>
      <c r="AO91" s="20">
        <v>66.16916666666667</v>
      </c>
    </row>
    <row r="92" ht="15.75" customHeight="1">
      <c r="A92" s="14" t="s">
        <v>109</v>
      </c>
      <c r="B92" s="22" t="s">
        <v>19</v>
      </c>
      <c r="C92" s="16">
        <v>80.0</v>
      </c>
      <c r="D92" s="16">
        <v>100.0</v>
      </c>
      <c r="E92" s="16">
        <v>92.63</v>
      </c>
      <c r="F92" s="16">
        <v>70.0</v>
      </c>
      <c r="G92" s="16">
        <v>95.0</v>
      </c>
      <c r="H92" s="16">
        <v>85.1</v>
      </c>
      <c r="I92" s="16">
        <v>40.0</v>
      </c>
      <c r="J92" s="16">
        <v>85.0</v>
      </c>
      <c r="K92" s="16">
        <v>67.72</v>
      </c>
      <c r="L92" s="16">
        <v>50.0</v>
      </c>
      <c r="M92" s="16">
        <v>70.0</v>
      </c>
      <c r="N92" s="16">
        <v>56.89</v>
      </c>
      <c r="O92" s="16">
        <v>48.0</v>
      </c>
      <c r="P92" s="16">
        <v>64.0</v>
      </c>
      <c r="Q92" s="16">
        <v>51.41</v>
      </c>
      <c r="R92" s="16">
        <v>45.0</v>
      </c>
      <c r="S92" s="16">
        <v>52.0</v>
      </c>
      <c r="T92" s="16">
        <v>47.41</v>
      </c>
      <c r="U92" s="16">
        <v>45.0</v>
      </c>
      <c r="V92" s="16">
        <v>50.0</v>
      </c>
      <c r="W92" s="16">
        <v>47.01</v>
      </c>
      <c r="X92" s="16">
        <v>38.0</v>
      </c>
      <c r="Y92" s="16">
        <v>50.0</v>
      </c>
      <c r="Z92" s="16">
        <v>46.21</v>
      </c>
      <c r="AA92" s="16">
        <v>45.0</v>
      </c>
      <c r="AB92" s="16">
        <v>50.0</v>
      </c>
      <c r="AC92" s="16">
        <v>47.66</v>
      </c>
      <c r="AD92" s="16">
        <v>45.0</v>
      </c>
      <c r="AE92" s="16">
        <v>60.0</v>
      </c>
      <c r="AF92" s="16">
        <v>55.82</v>
      </c>
      <c r="AG92" s="16">
        <v>55.0</v>
      </c>
      <c r="AH92" s="16">
        <v>70.0</v>
      </c>
      <c r="AI92" s="16">
        <v>60.03</v>
      </c>
      <c r="AJ92" s="16">
        <v>60.0</v>
      </c>
      <c r="AK92" s="16">
        <v>75.0</v>
      </c>
      <c r="AL92" s="17">
        <v>65.96</v>
      </c>
      <c r="AM92" s="18">
        <v>38.0</v>
      </c>
      <c r="AN92" s="19">
        <v>100.0</v>
      </c>
      <c r="AO92" s="20">
        <v>60.32083333333333</v>
      </c>
    </row>
    <row r="93" ht="15.75" customHeight="1">
      <c r="A93" s="14" t="s">
        <v>110</v>
      </c>
      <c r="B93" s="22" t="s">
        <v>19</v>
      </c>
      <c r="C93" s="16">
        <v>50.0</v>
      </c>
      <c r="D93" s="16">
        <v>60.0</v>
      </c>
      <c r="E93" s="16">
        <v>57.25</v>
      </c>
      <c r="F93" s="16">
        <v>50.0</v>
      </c>
      <c r="G93" s="16">
        <v>85.0</v>
      </c>
      <c r="H93" s="16">
        <v>58.3</v>
      </c>
      <c r="I93" s="16">
        <v>55.0</v>
      </c>
      <c r="J93" s="16">
        <v>60.0</v>
      </c>
      <c r="K93" s="16">
        <v>57.47</v>
      </c>
      <c r="L93" s="16">
        <v>50.0</v>
      </c>
      <c r="M93" s="16">
        <v>60.0</v>
      </c>
      <c r="N93" s="16">
        <v>56.76</v>
      </c>
      <c r="O93" s="16">
        <v>50.0</v>
      </c>
      <c r="P93" s="16">
        <v>55.0</v>
      </c>
      <c r="Q93" s="16">
        <v>52.5</v>
      </c>
      <c r="R93" s="16">
        <v>50.0</v>
      </c>
      <c r="S93" s="16">
        <v>55.0</v>
      </c>
      <c r="T93" s="16">
        <v>52.5</v>
      </c>
      <c r="U93" s="16">
        <v>50.0</v>
      </c>
      <c r="V93" s="16">
        <v>55.0</v>
      </c>
      <c r="W93" s="16">
        <v>52.5</v>
      </c>
      <c r="X93" s="16">
        <v>50.0</v>
      </c>
      <c r="Y93" s="16">
        <v>60.0</v>
      </c>
      <c r="Z93" s="16">
        <v>52.68</v>
      </c>
      <c r="AA93" s="16">
        <v>50.0</v>
      </c>
      <c r="AB93" s="16">
        <v>55.0</v>
      </c>
      <c r="AC93" s="16">
        <v>52.5</v>
      </c>
      <c r="AD93" s="16">
        <v>50.0</v>
      </c>
      <c r="AE93" s="16">
        <v>60.0</v>
      </c>
      <c r="AF93" s="16">
        <v>52.79</v>
      </c>
      <c r="AG93" s="16">
        <v>50.0</v>
      </c>
      <c r="AH93" s="16">
        <v>55.0</v>
      </c>
      <c r="AI93" s="16">
        <v>52.54</v>
      </c>
      <c r="AJ93" s="16">
        <v>50.0</v>
      </c>
      <c r="AK93" s="16">
        <v>55.0</v>
      </c>
      <c r="AL93" s="17">
        <v>53.16</v>
      </c>
      <c r="AM93" s="18">
        <v>50.0</v>
      </c>
      <c r="AN93" s="19">
        <v>85.0</v>
      </c>
      <c r="AO93" s="20">
        <v>54.24583333333333</v>
      </c>
    </row>
    <row r="94" ht="15.0" customHeight="1">
      <c r="A94" s="14" t="s">
        <v>111</v>
      </c>
      <c r="B94" s="22" t="s">
        <v>19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>
        <v>50.0</v>
      </c>
      <c r="AE94" s="16">
        <v>55.0</v>
      </c>
      <c r="AF94" s="16">
        <v>52.5</v>
      </c>
      <c r="AG94" s="16"/>
      <c r="AH94" s="16"/>
      <c r="AI94" s="16"/>
      <c r="AJ94" s="16"/>
      <c r="AK94" s="16"/>
      <c r="AL94" s="17"/>
      <c r="AM94" s="18">
        <v>50.0</v>
      </c>
      <c r="AN94" s="19">
        <v>55.0</v>
      </c>
      <c r="AO94" s="20">
        <v>52.5</v>
      </c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15" width="7.0"/>
    <col customWidth="1" min="16" max="25" width="8.0"/>
  </cols>
  <sheetData>
    <row r="1" ht="18.0" customHeight="1">
      <c r="A1" s="24" t="s">
        <v>112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26" t="s">
        <v>113</v>
      </c>
      <c r="O1" s="10" t="s">
        <v>114</v>
      </c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7" t="s">
        <v>18</v>
      </c>
      <c r="B2" s="28">
        <v>516000.0</v>
      </c>
      <c r="C2" s="28">
        <v>272000.0</v>
      </c>
      <c r="D2" s="28">
        <v>234000.0</v>
      </c>
      <c r="E2" s="28">
        <v>279600.0</v>
      </c>
      <c r="F2" s="28">
        <v>486000.0</v>
      </c>
      <c r="G2" s="28">
        <v>555000.0</v>
      </c>
      <c r="H2" s="28">
        <v>206400.0</v>
      </c>
      <c r="I2" s="28">
        <v>252000.0</v>
      </c>
      <c r="J2" s="28">
        <v>147000.0</v>
      </c>
      <c r="K2" s="28">
        <v>133000.0</v>
      </c>
      <c r="L2" s="28">
        <v>278000.0</v>
      </c>
      <c r="M2" s="28">
        <v>670000.0</v>
      </c>
      <c r="N2" s="29">
        <v>4029000.0</v>
      </c>
      <c r="O2" s="30">
        <f t="shared" ref="O2:O95" si="1">N2/$N$96*100</f>
        <v>2.014398414</v>
      </c>
    </row>
    <row r="3" ht="15.0" customHeight="1">
      <c r="A3" s="27" t="s">
        <v>20</v>
      </c>
      <c r="B3" s="28">
        <v>1466000.0</v>
      </c>
      <c r="C3" s="28">
        <v>2259000.0</v>
      </c>
      <c r="D3" s="28">
        <v>1648300.0</v>
      </c>
      <c r="E3" s="28">
        <v>1357000.0</v>
      </c>
      <c r="F3" s="28">
        <v>1164000.0</v>
      </c>
      <c r="G3" s="28">
        <v>1025000.0</v>
      </c>
      <c r="H3" s="28">
        <v>1882000.0</v>
      </c>
      <c r="I3" s="28">
        <v>1900000.0</v>
      </c>
      <c r="J3" s="28">
        <v>1619400.0</v>
      </c>
      <c r="K3" s="28">
        <v>1688000.0</v>
      </c>
      <c r="L3" s="28">
        <v>2193000.0</v>
      </c>
      <c r="M3" s="28">
        <v>1944000.0</v>
      </c>
      <c r="N3" s="29">
        <v>2.01457E7</v>
      </c>
      <c r="O3" s="30">
        <f t="shared" si="1"/>
        <v>10.07234205</v>
      </c>
    </row>
    <row r="4" ht="15.0" customHeight="1">
      <c r="A4" s="27" t="s">
        <v>21</v>
      </c>
      <c r="B4" s="28">
        <v>1618000.0</v>
      </c>
      <c r="C4" s="28">
        <v>1625000.0</v>
      </c>
      <c r="D4" s="28">
        <v>2091100.0</v>
      </c>
      <c r="E4" s="28">
        <v>3055000.0</v>
      </c>
      <c r="F4" s="28">
        <v>2984000.0</v>
      </c>
      <c r="G4" s="28">
        <v>2873000.0</v>
      </c>
      <c r="H4" s="28">
        <v>2026700.0</v>
      </c>
      <c r="I4" s="28">
        <v>2192000.0</v>
      </c>
      <c r="J4" s="28">
        <v>2750000.0</v>
      </c>
      <c r="K4" s="28">
        <v>3210000.0</v>
      </c>
      <c r="L4" s="28">
        <v>2694000.0</v>
      </c>
      <c r="M4" s="28">
        <v>2665000.0</v>
      </c>
      <c r="N4" s="29">
        <v>2.97838E7</v>
      </c>
      <c r="O4" s="30">
        <f t="shared" si="1"/>
        <v>14.89114904</v>
      </c>
    </row>
    <row r="5" ht="15.0" customHeight="1">
      <c r="A5" s="27" t="s">
        <v>22</v>
      </c>
      <c r="B5" s="28">
        <v>742000.0</v>
      </c>
      <c r="C5" s="28">
        <v>631000.0</v>
      </c>
      <c r="D5" s="28">
        <v>504000.0</v>
      </c>
      <c r="E5" s="28">
        <v>887000.0</v>
      </c>
      <c r="F5" s="28">
        <v>1028000.0</v>
      </c>
      <c r="G5" s="28">
        <v>1183000.0</v>
      </c>
      <c r="H5" s="28">
        <v>791000.0</v>
      </c>
      <c r="I5" s="28">
        <v>667000.0</v>
      </c>
      <c r="J5" s="28">
        <v>479000.0</v>
      </c>
      <c r="K5" s="28">
        <v>397000.0</v>
      </c>
      <c r="L5" s="28">
        <v>820000.0</v>
      </c>
      <c r="M5" s="28">
        <v>280000.0</v>
      </c>
      <c r="N5" s="29">
        <v>8409000.0</v>
      </c>
      <c r="O5" s="30">
        <f t="shared" si="1"/>
        <v>4.204287978</v>
      </c>
    </row>
    <row r="6" ht="15.0" customHeight="1">
      <c r="A6" s="27" t="s">
        <v>23</v>
      </c>
      <c r="B6" s="28">
        <v>1816000.0</v>
      </c>
      <c r="C6" s="28">
        <v>1687000.0</v>
      </c>
      <c r="D6" s="28">
        <v>1446000.0</v>
      </c>
      <c r="E6" s="28">
        <v>1492100.0</v>
      </c>
      <c r="F6" s="28">
        <v>1409050.0</v>
      </c>
      <c r="G6" s="28">
        <v>1397000.0</v>
      </c>
      <c r="H6" s="28">
        <v>887000.0</v>
      </c>
      <c r="I6" s="28">
        <v>1351000.0</v>
      </c>
      <c r="J6" s="28">
        <v>1256000.0</v>
      </c>
      <c r="K6" s="28">
        <v>1534000.0</v>
      </c>
      <c r="L6" s="28">
        <v>1548000.0</v>
      </c>
      <c r="M6" s="28">
        <v>1612000.0</v>
      </c>
      <c r="N6" s="29">
        <v>1.743515E7</v>
      </c>
      <c r="O6" s="30">
        <f t="shared" si="1"/>
        <v>8.717135395</v>
      </c>
    </row>
    <row r="7" ht="15.0" customHeight="1">
      <c r="A7" s="27" t="s">
        <v>24</v>
      </c>
      <c r="B7" s="28">
        <v>75625.0</v>
      </c>
      <c r="C7" s="28">
        <v>93250.0</v>
      </c>
      <c r="D7" s="28">
        <v>72820.0</v>
      </c>
      <c r="E7" s="28">
        <v>51900.0</v>
      </c>
      <c r="F7" s="28">
        <v>56400.0</v>
      </c>
      <c r="G7" s="28">
        <v>34700.0</v>
      </c>
      <c r="H7" s="28">
        <v>29950.0</v>
      </c>
      <c r="I7" s="28">
        <v>66350.0</v>
      </c>
      <c r="J7" s="28">
        <v>122000.0</v>
      </c>
      <c r="K7" s="28">
        <v>140900.0</v>
      </c>
      <c r="L7" s="28">
        <v>273860.0</v>
      </c>
      <c r="M7" s="28">
        <v>303700.0</v>
      </c>
      <c r="N7" s="29">
        <v>1321455.0</v>
      </c>
      <c r="O7" s="30">
        <f t="shared" si="1"/>
        <v>0.6606941812</v>
      </c>
    </row>
    <row r="8" ht="15.0" customHeight="1">
      <c r="A8" s="27" t="s">
        <v>25</v>
      </c>
      <c r="B8" s="28">
        <v>746000.0</v>
      </c>
      <c r="C8" s="28">
        <v>394400.0</v>
      </c>
      <c r="D8" s="28">
        <v>472750.0</v>
      </c>
      <c r="E8" s="28">
        <v>919350.0</v>
      </c>
      <c r="F8" s="28">
        <v>930855.0</v>
      </c>
      <c r="G8" s="28">
        <v>706675.0</v>
      </c>
      <c r="H8" s="28">
        <v>377150.0</v>
      </c>
      <c r="I8" s="28">
        <v>653650.0</v>
      </c>
      <c r="J8" s="28">
        <v>943750.0</v>
      </c>
      <c r="K8" s="28">
        <v>1001950.0</v>
      </c>
      <c r="L8" s="28">
        <v>1086350.0</v>
      </c>
      <c r="M8" s="28">
        <v>928665.0</v>
      </c>
      <c r="N8" s="29">
        <v>9161545.0</v>
      </c>
      <c r="O8" s="30">
        <f t="shared" si="1"/>
        <v>4.580541503</v>
      </c>
    </row>
    <row r="9" ht="15.0" customHeight="1">
      <c r="A9" s="27" t="s">
        <v>26</v>
      </c>
      <c r="B9" s="28">
        <v>1035200.0</v>
      </c>
      <c r="C9" s="28">
        <v>973075.0</v>
      </c>
      <c r="D9" s="28">
        <v>1375650.0</v>
      </c>
      <c r="E9" s="28">
        <v>2043725.0</v>
      </c>
      <c r="F9" s="28">
        <v>1744800.0</v>
      </c>
      <c r="G9" s="28">
        <v>2064400.0</v>
      </c>
      <c r="H9" s="28">
        <v>2838215.0</v>
      </c>
      <c r="I9" s="28">
        <v>1967655.0</v>
      </c>
      <c r="J9" s="28">
        <v>1112800.0</v>
      </c>
      <c r="K9" s="28">
        <v>1465400.0</v>
      </c>
      <c r="L9" s="28">
        <v>2006945.0</v>
      </c>
      <c r="M9" s="28">
        <v>2022430.0</v>
      </c>
      <c r="N9" s="29">
        <v>2.0650295E7</v>
      </c>
      <c r="O9" s="30">
        <f t="shared" si="1"/>
        <v>10.32462683</v>
      </c>
    </row>
    <row r="10" ht="15.0" customHeight="1">
      <c r="A10" s="27" t="s">
        <v>27</v>
      </c>
      <c r="B10" s="28">
        <v>78000.0</v>
      </c>
      <c r="C10" s="28">
        <v>3000.0</v>
      </c>
      <c r="D10" s="28">
        <v>3000.0</v>
      </c>
      <c r="E10" s="28">
        <v>27000.0</v>
      </c>
      <c r="F10" s="28">
        <v>2000.0</v>
      </c>
      <c r="G10" s="28">
        <v>19000.0</v>
      </c>
      <c r="H10" s="28">
        <v>20000.0</v>
      </c>
      <c r="I10" s="28">
        <v>494000.0</v>
      </c>
      <c r="J10" s="28">
        <v>1959000.0</v>
      </c>
      <c r="K10" s="28">
        <v>1848000.0</v>
      </c>
      <c r="L10" s="28">
        <v>818000.0</v>
      </c>
      <c r="M10" s="28">
        <v>343000.0</v>
      </c>
      <c r="N10" s="29">
        <v>5614000.0</v>
      </c>
      <c r="O10" s="30">
        <f t="shared" si="1"/>
        <v>2.80685845</v>
      </c>
    </row>
    <row r="11" ht="15.0" customHeight="1">
      <c r="A11" s="27" t="s">
        <v>28</v>
      </c>
      <c r="B11" s="28">
        <v>3120.0</v>
      </c>
      <c r="C11" s="28">
        <v>1400.0</v>
      </c>
      <c r="D11" s="28">
        <v>40.0</v>
      </c>
      <c r="E11" s="28">
        <v>48100.0</v>
      </c>
      <c r="F11" s="28">
        <v>300.0</v>
      </c>
      <c r="G11" s="28">
        <v>1400.0</v>
      </c>
      <c r="H11" s="28">
        <v>1230.0</v>
      </c>
      <c r="I11" s="28">
        <v>9620.0</v>
      </c>
      <c r="J11" s="28">
        <v>10650.0</v>
      </c>
      <c r="K11" s="28">
        <v>11100.0</v>
      </c>
      <c r="L11" s="28">
        <v>12450.0</v>
      </c>
      <c r="M11" s="28">
        <v>12350.0</v>
      </c>
      <c r="N11" s="29">
        <v>111760.0</v>
      </c>
      <c r="O11" s="30">
        <f t="shared" si="1"/>
        <v>0.05587718211</v>
      </c>
    </row>
    <row r="12" ht="15.0" customHeight="1">
      <c r="A12" s="27" t="s">
        <v>29</v>
      </c>
      <c r="B12" s="28">
        <v>230000.0</v>
      </c>
      <c r="C12" s="28">
        <v>346455.0</v>
      </c>
      <c r="D12" s="28">
        <v>478060.0</v>
      </c>
      <c r="E12" s="28">
        <v>486250.0</v>
      </c>
      <c r="F12" s="28">
        <v>616900.0</v>
      </c>
      <c r="G12" s="28">
        <v>523225.0</v>
      </c>
      <c r="H12" s="28">
        <v>500950.0</v>
      </c>
      <c r="I12" s="28">
        <v>324260.0</v>
      </c>
      <c r="J12" s="28">
        <v>273600.0</v>
      </c>
      <c r="K12" s="28">
        <v>348450.0</v>
      </c>
      <c r="L12" s="28">
        <v>387150.0</v>
      </c>
      <c r="M12" s="28">
        <v>282150.0</v>
      </c>
      <c r="N12" s="29">
        <v>4797450.0</v>
      </c>
      <c r="O12" s="30">
        <f t="shared" si="1"/>
        <v>2.398604038</v>
      </c>
    </row>
    <row r="13" ht="15.0" customHeight="1">
      <c r="A13" s="27" t="s">
        <v>30</v>
      </c>
      <c r="B13" s="28">
        <v>251100.0</v>
      </c>
      <c r="C13" s="28">
        <v>109000.0</v>
      </c>
      <c r="D13" s="28">
        <v>179000.0</v>
      </c>
      <c r="E13" s="28">
        <v>156100.0</v>
      </c>
      <c r="F13" s="28">
        <v>165000.0</v>
      </c>
      <c r="G13" s="28">
        <v>88000.0</v>
      </c>
      <c r="H13" s="28">
        <v>126000.0</v>
      </c>
      <c r="I13" s="28">
        <v>243000.0</v>
      </c>
      <c r="J13" s="28">
        <v>252000.0</v>
      </c>
      <c r="K13" s="28">
        <v>165000.0</v>
      </c>
      <c r="L13" s="28">
        <v>98000.0</v>
      </c>
      <c r="M13" s="28">
        <v>300000.0</v>
      </c>
      <c r="N13" s="29">
        <v>2132200.0</v>
      </c>
      <c r="O13" s="30">
        <f t="shared" si="1"/>
        <v>1.066046239</v>
      </c>
    </row>
    <row r="14" ht="15.0" customHeight="1">
      <c r="A14" s="27" t="s">
        <v>31</v>
      </c>
      <c r="B14" s="28"/>
      <c r="C14" s="28"/>
      <c r="D14" s="28"/>
      <c r="E14" s="28"/>
      <c r="F14" s="28"/>
      <c r="G14" s="28"/>
      <c r="H14" s="28">
        <v>2000.0</v>
      </c>
      <c r="I14" s="28"/>
      <c r="J14" s="28"/>
      <c r="K14" s="28"/>
      <c r="L14" s="28">
        <v>2000.0</v>
      </c>
      <c r="M14" s="28"/>
      <c r="N14" s="29">
        <v>4000.0</v>
      </c>
      <c r="O14" s="30">
        <f t="shared" si="1"/>
        <v>0.001999899145</v>
      </c>
    </row>
    <row r="15" ht="15.0" customHeight="1">
      <c r="A15" s="27" t="s">
        <v>32</v>
      </c>
      <c r="B15" s="28">
        <v>797180.0</v>
      </c>
      <c r="C15" s="28">
        <v>842250.0</v>
      </c>
      <c r="D15" s="28">
        <v>225550.0</v>
      </c>
      <c r="E15" s="28">
        <v>305500.0</v>
      </c>
      <c r="F15" s="28">
        <v>343770.0</v>
      </c>
      <c r="G15" s="28">
        <v>241660.0</v>
      </c>
      <c r="H15" s="28">
        <v>88580.0</v>
      </c>
      <c r="I15" s="28">
        <v>207050.0</v>
      </c>
      <c r="J15" s="28">
        <v>157000.0</v>
      </c>
      <c r="K15" s="28">
        <v>35000.0</v>
      </c>
      <c r="L15" s="28">
        <v>7000.0</v>
      </c>
      <c r="M15" s="28">
        <v>28000.0</v>
      </c>
      <c r="N15" s="29">
        <v>3278540.0</v>
      </c>
      <c r="O15" s="30">
        <f t="shared" si="1"/>
        <v>1.639187336</v>
      </c>
    </row>
    <row r="16" ht="15.0" customHeight="1">
      <c r="A16" s="27" t="s">
        <v>33</v>
      </c>
      <c r="B16" s="28">
        <v>36100.0</v>
      </c>
      <c r="C16" s="28">
        <v>18600.0</v>
      </c>
      <c r="D16" s="28">
        <v>7000.0</v>
      </c>
      <c r="E16" s="28">
        <v>2000.0</v>
      </c>
      <c r="F16" s="28">
        <v>300.0</v>
      </c>
      <c r="G16" s="28">
        <v>2000.0</v>
      </c>
      <c r="H16" s="28">
        <v>62000.0</v>
      </c>
      <c r="I16" s="28">
        <v>130000.0</v>
      </c>
      <c r="J16" s="28">
        <v>254000.0</v>
      </c>
      <c r="K16" s="28">
        <v>359100.0</v>
      </c>
      <c r="L16" s="28">
        <v>527000.0</v>
      </c>
      <c r="M16" s="28">
        <v>377000.0</v>
      </c>
      <c r="N16" s="29">
        <v>1775100.0</v>
      </c>
      <c r="O16" s="30">
        <f t="shared" si="1"/>
        <v>0.8875052431</v>
      </c>
    </row>
    <row r="17" ht="15.0" customHeight="1">
      <c r="A17" s="27" t="s">
        <v>34</v>
      </c>
      <c r="B17" s="28">
        <v>378000.0</v>
      </c>
      <c r="C17" s="28">
        <v>374100.0</v>
      </c>
      <c r="D17" s="28">
        <v>206500.0</v>
      </c>
      <c r="E17" s="28">
        <v>109000.0</v>
      </c>
      <c r="F17" s="28">
        <v>149000.0</v>
      </c>
      <c r="G17" s="28">
        <v>237000.0</v>
      </c>
      <c r="H17" s="28">
        <v>169000.0</v>
      </c>
      <c r="I17" s="28">
        <v>285000.0</v>
      </c>
      <c r="J17" s="28">
        <v>422000.0</v>
      </c>
      <c r="K17" s="28">
        <v>359000.0</v>
      </c>
      <c r="L17" s="28">
        <v>313000.0</v>
      </c>
      <c r="M17" s="28">
        <v>336000.0</v>
      </c>
      <c r="N17" s="29">
        <v>3337600.0</v>
      </c>
      <c r="O17" s="30">
        <f t="shared" si="1"/>
        <v>1.668715847</v>
      </c>
    </row>
    <row r="18" ht="15.0" customHeight="1">
      <c r="A18" s="27" t="s">
        <v>35</v>
      </c>
      <c r="B18" s="28"/>
      <c r="C18" s="28"/>
      <c r="D18" s="28"/>
      <c r="E18" s="28"/>
      <c r="F18" s="28"/>
      <c r="G18" s="28"/>
      <c r="H18" s="28"/>
      <c r="I18" s="28">
        <v>14000.0</v>
      </c>
      <c r="J18" s="28">
        <v>129000.0</v>
      </c>
      <c r="K18" s="28">
        <v>59000.0</v>
      </c>
      <c r="L18" s="28">
        <v>124000.0</v>
      </c>
      <c r="M18" s="28">
        <v>63000.0</v>
      </c>
      <c r="N18" s="29">
        <v>389000.0</v>
      </c>
      <c r="O18" s="30">
        <f t="shared" si="1"/>
        <v>0.1944901919</v>
      </c>
    </row>
    <row r="19" ht="15.0" customHeight="1">
      <c r="A19" s="27" t="s">
        <v>36</v>
      </c>
      <c r="B19" s="28"/>
      <c r="C19" s="28"/>
      <c r="D19" s="28">
        <v>1000.0</v>
      </c>
      <c r="E19" s="28">
        <v>14000.0</v>
      </c>
      <c r="F19" s="28"/>
      <c r="G19" s="28">
        <v>22000.0</v>
      </c>
      <c r="H19" s="28">
        <v>4000.0</v>
      </c>
      <c r="I19" s="28"/>
      <c r="J19" s="28"/>
      <c r="K19" s="28"/>
      <c r="L19" s="28"/>
      <c r="M19" s="28"/>
      <c r="N19" s="29">
        <v>41000.0</v>
      </c>
      <c r="O19" s="30">
        <f t="shared" si="1"/>
        <v>0.02049896624</v>
      </c>
    </row>
    <row r="20" ht="15.0" customHeight="1">
      <c r="A20" s="27" t="s">
        <v>37</v>
      </c>
      <c r="B20" s="28">
        <v>331000.0</v>
      </c>
      <c r="C20" s="28">
        <v>543000.0</v>
      </c>
      <c r="D20" s="28">
        <v>396035.0</v>
      </c>
      <c r="E20" s="28">
        <v>568000.0</v>
      </c>
      <c r="F20" s="28">
        <v>611000.0</v>
      </c>
      <c r="G20" s="28">
        <v>184000.0</v>
      </c>
      <c r="H20" s="28">
        <v>282000.0</v>
      </c>
      <c r="I20" s="28">
        <v>347000.0</v>
      </c>
      <c r="J20" s="28">
        <v>139000.0</v>
      </c>
      <c r="K20" s="28">
        <v>24000.0</v>
      </c>
      <c r="L20" s="28">
        <v>48000.0</v>
      </c>
      <c r="M20" s="28">
        <v>205000.0</v>
      </c>
      <c r="N20" s="29">
        <v>3678035.0</v>
      </c>
      <c r="O20" s="30">
        <f t="shared" si="1"/>
        <v>1.838924763</v>
      </c>
    </row>
    <row r="21" ht="15.0" customHeight="1">
      <c r="A21" s="27" t="s">
        <v>38</v>
      </c>
      <c r="B21" s="28">
        <v>424000.0</v>
      </c>
      <c r="C21" s="28">
        <v>391000.0</v>
      </c>
      <c r="D21" s="28">
        <v>277000.0</v>
      </c>
      <c r="E21" s="28">
        <v>402000.0</v>
      </c>
      <c r="F21" s="28">
        <v>317000.0</v>
      </c>
      <c r="G21" s="28">
        <v>208000.0</v>
      </c>
      <c r="H21" s="28">
        <v>65000.0</v>
      </c>
      <c r="I21" s="28">
        <v>45000.0</v>
      </c>
      <c r="J21" s="28">
        <v>52000.0</v>
      </c>
      <c r="K21" s="28">
        <v>13000.0</v>
      </c>
      <c r="L21" s="28">
        <v>41000.0</v>
      </c>
      <c r="M21" s="28">
        <v>143000.0</v>
      </c>
      <c r="N21" s="29">
        <v>2378000.0</v>
      </c>
      <c r="O21" s="30">
        <f t="shared" si="1"/>
        <v>1.188940042</v>
      </c>
    </row>
    <row r="22" ht="15.0" customHeight="1">
      <c r="A22" s="27" t="s">
        <v>39</v>
      </c>
      <c r="B22" s="28">
        <v>456000.0</v>
      </c>
      <c r="C22" s="28">
        <v>448000.0</v>
      </c>
      <c r="D22" s="28">
        <v>680500.0</v>
      </c>
      <c r="E22" s="28">
        <v>882100.0</v>
      </c>
      <c r="F22" s="28">
        <v>624000.0</v>
      </c>
      <c r="G22" s="28">
        <v>406000.0</v>
      </c>
      <c r="H22" s="28">
        <v>109000.0</v>
      </c>
      <c r="I22" s="28">
        <v>53000.0</v>
      </c>
      <c r="J22" s="28">
        <v>2200.0</v>
      </c>
      <c r="K22" s="28">
        <v>2000.0</v>
      </c>
      <c r="L22" s="28">
        <v>8000.0</v>
      </c>
      <c r="M22" s="28">
        <v>184250.0</v>
      </c>
      <c r="N22" s="29">
        <v>3855050.0</v>
      </c>
      <c r="O22" s="30">
        <f t="shared" si="1"/>
        <v>1.9274278</v>
      </c>
    </row>
    <row r="23" ht="15.0" customHeight="1">
      <c r="A23" s="27" t="s">
        <v>40</v>
      </c>
      <c r="B23" s="28"/>
      <c r="C23" s="28">
        <v>12000.0</v>
      </c>
      <c r="D23" s="28">
        <v>9000.0</v>
      </c>
      <c r="E23" s="28">
        <v>42000.0</v>
      </c>
      <c r="F23" s="28">
        <v>30000.0</v>
      </c>
      <c r="G23" s="28">
        <v>5000.0</v>
      </c>
      <c r="H23" s="28"/>
      <c r="I23" s="28"/>
      <c r="J23" s="28"/>
      <c r="K23" s="28"/>
      <c r="L23" s="28"/>
      <c r="M23" s="28"/>
      <c r="N23" s="29">
        <v>98000.0</v>
      </c>
      <c r="O23" s="30">
        <f t="shared" si="1"/>
        <v>0.04899752905</v>
      </c>
    </row>
    <row r="24" ht="15.0" customHeight="1">
      <c r="A24" s="27" t="s">
        <v>41</v>
      </c>
      <c r="B24" s="28">
        <v>75000.0</v>
      </c>
      <c r="C24" s="28">
        <v>258000.0</v>
      </c>
      <c r="D24" s="28">
        <v>203660.0</v>
      </c>
      <c r="E24" s="28">
        <v>363000.0</v>
      </c>
      <c r="F24" s="28">
        <v>204000.0</v>
      </c>
      <c r="G24" s="28">
        <v>143000.0</v>
      </c>
      <c r="H24" s="28">
        <v>23000.0</v>
      </c>
      <c r="I24" s="28">
        <v>7000.0</v>
      </c>
      <c r="J24" s="28"/>
      <c r="K24" s="28"/>
      <c r="L24" s="28">
        <v>2000.0</v>
      </c>
      <c r="M24" s="28">
        <v>3000.0</v>
      </c>
      <c r="N24" s="29">
        <v>1281660.0</v>
      </c>
      <c r="O24" s="30">
        <f t="shared" si="1"/>
        <v>0.6407976846</v>
      </c>
    </row>
    <row r="25" ht="15.0" customHeight="1">
      <c r="A25" s="27" t="s">
        <v>42</v>
      </c>
      <c r="B25" s="28"/>
      <c r="C25" s="28"/>
      <c r="D25" s="28"/>
      <c r="E25" s="28"/>
      <c r="F25" s="28">
        <v>9000.0</v>
      </c>
      <c r="G25" s="28">
        <v>1000.0</v>
      </c>
      <c r="H25" s="28"/>
      <c r="I25" s="28"/>
      <c r="J25" s="28"/>
      <c r="K25" s="28"/>
      <c r="L25" s="28"/>
      <c r="M25" s="28"/>
      <c r="N25" s="29">
        <v>10000.0</v>
      </c>
      <c r="O25" s="30">
        <f t="shared" si="1"/>
        <v>0.004999747863</v>
      </c>
    </row>
    <row r="26" ht="15.0" customHeight="1">
      <c r="A26" s="27" t="s">
        <v>43</v>
      </c>
      <c r="B26" s="28">
        <v>44000.0</v>
      </c>
      <c r="C26" s="28">
        <v>23000.0</v>
      </c>
      <c r="D26" s="28">
        <v>106000.0</v>
      </c>
      <c r="E26" s="28">
        <v>124000.0</v>
      </c>
      <c r="F26" s="28">
        <v>94000.0</v>
      </c>
      <c r="G26" s="28">
        <v>56000.0</v>
      </c>
      <c r="H26" s="28">
        <v>10000.0</v>
      </c>
      <c r="I26" s="28">
        <v>57000.0</v>
      </c>
      <c r="J26" s="28">
        <v>49000.0</v>
      </c>
      <c r="K26" s="28">
        <v>13000.0</v>
      </c>
      <c r="L26" s="28">
        <v>16000.0</v>
      </c>
      <c r="M26" s="28">
        <v>44000.0</v>
      </c>
      <c r="N26" s="29">
        <v>636000.0</v>
      </c>
      <c r="O26" s="30">
        <f t="shared" si="1"/>
        <v>0.3179839641</v>
      </c>
    </row>
    <row r="27" ht="15.0" customHeight="1">
      <c r="A27" s="27" t="s">
        <v>44</v>
      </c>
      <c r="B27" s="28">
        <v>250275.0</v>
      </c>
      <c r="C27" s="28">
        <v>365950.0</v>
      </c>
      <c r="D27" s="28">
        <v>164350.0</v>
      </c>
      <c r="E27" s="28">
        <v>135000.0</v>
      </c>
      <c r="F27" s="28">
        <v>150800.0</v>
      </c>
      <c r="G27" s="28">
        <v>245650.0</v>
      </c>
      <c r="H27" s="28">
        <v>169000.0</v>
      </c>
      <c r="I27" s="28">
        <v>263000.0</v>
      </c>
      <c r="J27" s="28">
        <v>194000.0</v>
      </c>
      <c r="K27" s="28">
        <v>194000.0</v>
      </c>
      <c r="L27" s="28">
        <v>177000.0</v>
      </c>
      <c r="M27" s="28">
        <v>309000.0</v>
      </c>
      <c r="N27" s="29">
        <v>2618025.0</v>
      </c>
      <c r="O27" s="30">
        <f t="shared" si="1"/>
        <v>1.30894649</v>
      </c>
    </row>
    <row r="28" ht="15.0" customHeight="1">
      <c r="A28" s="27" t="s">
        <v>45</v>
      </c>
      <c r="B28" s="28">
        <v>3515.0</v>
      </c>
      <c r="C28" s="28">
        <v>5355.0</v>
      </c>
      <c r="D28" s="28">
        <v>1200.0</v>
      </c>
      <c r="E28" s="28">
        <v>300.0</v>
      </c>
      <c r="F28" s="28"/>
      <c r="G28" s="28">
        <v>1205.0</v>
      </c>
      <c r="H28" s="28">
        <v>2280.0</v>
      </c>
      <c r="I28" s="28">
        <v>5500.0</v>
      </c>
      <c r="J28" s="28">
        <v>7275.0</v>
      </c>
      <c r="K28" s="28">
        <v>12790.0</v>
      </c>
      <c r="L28" s="28">
        <v>8495.0</v>
      </c>
      <c r="M28" s="28">
        <v>10090.0</v>
      </c>
      <c r="N28" s="29">
        <v>58005.0</v>
      </c>
      <c r="O28" s="30">
        <f t="shared" si="1"/>
        <v>0.02900103748</v>
      </c>
    </row>
    <row r="29" ht="15.0" customHeight="1">
      <c r="A29" s="27" t="s">
        <v>46</v>
      </c>
      <c r="B29" s="28">
        <v>232000.0</v>
      </c>
      <c r="C29" s="28">
        <v>284000.0</v>
      </c>
      <c r="D29" s="28">
        <v>185500.0</v>
      </c>
      <c r="E29" s="28">
        <v>296000.0</v>
      </c>
      <c r="F29" s="28">
        <v>277000.0</v>
      </c>
      <c r="G29" s="28">
        <v>117000.0</v>
      </c>
      <c r="H29" s="28">
        <v>50000.0</v>
      </c>
      <c r="I29" s="28">
        <v>20150.0</v>
      </c>
      <c r="J29" s="28">
        <v>6000.0</v>
      </c>
      <c r="K29" s="28"/>
      <c r="L29" s="28">
        <v>42000.0</v>
      </c>
      <c r="M29" s="28">
        <v>136000.0</v>
      </c>
      <c r="N29" s="29">
        <v>1645650.0</v>
      </c>
      <c r="O29" s="30">
        <f t="shared" si="1"/>
        <v>0.822783507</v>
      </c>
    </row>
    <row r="30" ht="15.0" customHeight="1">
      <c r="A30" s="27" t="s">
        <v>47</v>
      </c>
      <c r="B30" s="28"/>
      <c r="C30" s="28"/>
      <c r="D30" s="28"/>
      <c r="E30" s="28"/>
      <c r="F30" s="28"/>
      <c r="G30" s="28"/>
      <c r="H30" s="28">
        <v>63000.0</v>
      </c>
      <c r="I30" s="28">
        <v>9000.0</v>
      </c>
      <c r="J30" s="28">
        <v>68000.0</v>
      </c>
      <c r="K30" s="28"/>
      <c r="L30" s="28"/>
      <c r="M30" s="28"/>
      <c r="N30" s="29">
        <v>140000.0</v>
      </c>
      <c r="O30" s="30">
        <f t="shared" si="1"/>
        <v>0.06999647008</v>
      </c>
    </row>
    <row r="31" ht="15.0" customHeight="1">
      <c r="A31" s="27" t="s">
        <v>48</v>
      </c>
      <c r="B31" s="28">
        <v>16200.0</v>
      </c>
      <c r="C31" s="28"/>
      <c r="D31" s="28"/>
      <c r="E31" s="28">
        <v>2000.0</v>
      </c>
      <c r="F31" s="28">
        <v>8000.0</v>
      </c>
      <c r="G31" s="28">
        <v>14500.0</v>
      </c>
      <c r="H31" s="28">
        <v>93000.0</v>
      </c>
      <c r="I31" s="28">
        <v>29000.0</v>
      </c>
      <c r="J31" s="28">
        <v>24000.0</v>
      </c>
      <c r="K31" s="28">
        <v>4000.0</v>
      </c>
      <c r="L31" s="28">
        <v>28000.0</v>
      </c>
      <c r="M31" s="28">
        <v>3000.0</v>
      </c>
      <c r="N31" s="29">
        <v>221700.0</v>
      </c>
      <c r="O31" s="30">
        <f t="shared" si="1"/>
        <v>0.1108444101</v>
      </c>
    </row>
    <row r="32" ht="15.0" customHeight="1">
      <c r="A32" s="27" t="s">
        <v>49</v>
      </c>
      <c r="B32" s="28"/>
      <c r="C32" s="28">
        <v>300.0</v>
      </c>
      <c r="D32" s="28">
        <v>2000.0</v>
      </c>
      <c r="E32" s="28">
        <v>35000.0</v>
      </c>
      <c r="F32" s="28">
        <v>79000.0</v>
      </c>
      <c r="G32" s="28">
        <v>26060.0</v>
      </c>
      <c r="H32" s="28">
        <v>43400.0</v>
      </c>
      <c r="I32" s="28">
        <v>10350.0</v>
      </c>
      <c r="J32" s="28">
        <v>27000.0</v>
      </c>
      <c r="K32" s="28">
        <v>15000.0</v>
      </c>
      <c r="L32" s="28">
        <v>9000.0</v>
      </c>
      <c r="M32" s="28">
        <v>7000.0</v>
      </c>
      <c r="N32" s="29">
        <v>254110.0</v>
      </c>
      <c r="O32" s="30">
        <f t="shared" si="1"/>
        <v>0.1270485929</v>
      </c>
    </row>
    <row r="33" ht="15.0" customHeight="1">
      <c r="A33" s="27" t="s">
        <v>50</v>
      </c>
      <c r="B33" s="28">
        <v>1500.0</v>
      </c>
      <c r="C33" s="28">
        <v>34000.0</v>
      </c>
      <c r="D33" s="28">
        <v>146000.0</v>
      </c>
      <c r="E33" s="28">
        <v>158000.0</v>
      </c>
      <c r="F33" s="28">
        <v>248000.0</v>
      </c>
      <c r="G33" s="28">
        <v>199000.0</v>
      </c>
      <c r="H33" s="28">
        <v>62000.0</v>
      </c>
      <c r="I33" s="28">
        <v>40000.0</v>
      </c>
      <c r="J33" s="28">
        <v>2000.0</v>
      </c>
      <c r="K33" s="28">
        <v>4000.0</v>
      </c>
      <c r="L33" s="28">
        <v>32000.0</v>
      </c>
      <c r="M33" s="28">
        <v>19000.0</v>
      </c>
      <c r="N33" s="29">
        <v>945500.0</v>
      </c>
      <c r="O33" s="30">
        <f t="shared" si="1"/>
        <v>0.4727261604</v>
      </c>
    </row>
    <row r="34" ht="15.0" customHeight="1">
      <c r="A34" s="27" t="s">
        <v>51</v>
      </c>
      <c r="B34" s="28">
        <v>29700.0</v>
      </c>
      <c r="C34" s="28">
        <v>40400.0</v>
      </c>
      <c r="D34" s="28">
        <v>44350.0</v>
      </c>
      <c r="E34" s="28">
        <v>38150.0</v>
      </c>
      <c r="F34" s="28">
        <v>25925.0</v>
      </c>
      <c r="G34" s="28">
        <v>33225.0</v>
      </c>
      <c r="H34" s="28">
        <v>54650.0</v>
      </c>
      <c r="I34" s="28">
        <v>95650.0</v>
      </c>
      <c r="J34" s="28">
        <v>119200.0</v>
      </c>
      <c r="K34" s="28">
        <v>105580.0</v>
      </c>
      <c r="L34" s="28">
        <v>97450.0</v>
      </c>
      <c r="M34" s="28">
        <v>82175.0</v>
      </c>
      <c r="N34" s="29">
        <v>766455.0</v>
      </c>
      <c r="O34" s="30">
        <f t="shared" si="1"/>
        <v>0.3832081748</v>
      </c>
    </row>
    <row r="35" ht="15.0" customHeight="1">
      <c r="A35" s="27" t="s">
        <v>52</v>
      </c>
      <c r="B35" s="28">
        <v>32900.0</v>
      </c>
      <c r="C35" s="28">
        <v>32750.0</v>
      </c>
      <c r="D35" s="28">
        <v>39900.0</v>
      </c>
      <c r="E35" s="28">
        <v>38850.0</v>
      </c>
      <c r="F35" s="28">
        <v>20720.0</v>
      </c>
      <c r="G35" s="28">
        <v>24225.0</v>
      </c>
      <c r="H35" s="28">
        <v>39450.0</v>
      </c>
      <c r="I35" s="28">
        <v>81855.0</v>
      </c>
      <c r="J35" s="28">
        <v>97650.0</v>
      </c>
      <c r="K35" s="28">
        <v>87000.0</v>
      </c>
      <c r="L35" s="28">
        <v>87675.0</v>
      </c>
      <c r="M35" s="28">
        <v>72200.0</v>
      </c>
      <c r="N35" s="29">
        <v>655175.0</v>
      </c>
      <c r="O35" s="30">
        <f t="shared" si="1"/>
        <v>0.3275709806</v>
      </c>
    </row>
    <row r="36" ht="15.0" customHeight="1">
      <c r="A36" s="27" t="s">
        <v>53</v>
      </c>
      <c r="B36" s="28">
        <v>20900.0</v>
      </c>
      <c r="C36" s="28">
        <v>19900.0</v>
      </c>
      <c r="D36" s="28">
        <v>8900.0</v>
      </c>
      <c r="E36" s="28">
        <v>8475.0</v>
      </c>
      <c r="F36" s="28">
        <v>3300.0</v>
      </c>
      <c r="G36" s="28">
        <v>11650.0</v>
      </c>
      <c r="H36" s="28">
        <v>27050.0</v>
      </c>
      <c r="I36" s="28">
        <v>26450.0</v>
      </c>
      <c r="J36" s="28">
        <v>46280.0</v>
      </c>
      <c r="K36" s="28">
        <v>46200.0</v>
      </c>
      <c r="L36" s="28">
        <v>54500.0</v>
      </c>
      <c r="M36" s="28">
        <v>36000.0</v>
      </c>
      <c r="N36" s="29">
        <v>309605.0</v>
      </c>
      <c r="O36" s="30">
        <f t="shared" si="1"/>
        <v>0.1547946937</v>
      </c>
    </row>
    <row r="37" ht="15.0" customHeight="1">
      <c r="A37" s="27" t="s">
        <v>54</v>
      </c>
      <c r="B37" s="28">
        <v>19900.0</v>
      </c>
      <c r="C37" s="28">
        <v>25350.0</v>
      </c>
      <c r="D37" s="28">
        <v>23000.0</v>
      </c>
      <c r="E37" s="28">
        <v>22700.0</v>
      </c>
      <c r="F37" s="28">
        <v>19300.0</v>
      </c>
      <c r="G37" s="28">
        <v>27450.0</v>
      </c>
      <c r="H37" s="28">
        <v>33350.0</v>
      </c>
      <c r="I37" s="28">
        <v>23400.0</v>
      </c>
      <c r="J37" s="28">
        <v>14750.0</v>
      </c>
      <c r="K37" s="28">
        <v>13650.0</v>
      </c>
      <c r="L37" s="28">
        <v>18500.0</v>
      </c>
      <c r="M37" s="28">
        <v>19950.0</v>
      </c>
      <c r="N37" s="29">
        <v>261300.0</v>
      </c>
      <c r="O37" s="30">
        <f t="shared" si="1"/>
        <v>0.1306434117</v>
      </c>
    </row>
    <row r="38" ht="15.0" customHeight="1">
      <c r="A38" s="27" t="s">
        <v>55</v>
      </c>
      <c r="B38" s="28">
        <v>12125.0</v>
      </c>
      <c r="C38" s="28">
        <v>11850.0</v>
      </c>
      <c r="D38" s="28">
        <v>5215.0</v>
      </c>
      <c r="E38" s="28">
        <v>740.0</v>
      </c>
      <c r="F38" s="28">
        <v>570.0</v>
      </c>
      <c r="G38" s="28">
        <v>2775.0</v>
      </c>
      <c r="H38" s="28">
        <v>14855.0</v>
      </c>
      <c r="I38" s="28">
        <v>26300.0</v>
      </c>
      <c r="J38" s="28">
        <v>24750.0</v>
      </c>
      <c r="K38" s="28">
        <v>18900.0</v>
      </c>
      <c r="L38" s="28">
        <v>20550.0</v>
      </c>
      <c r="M38" s="28">
        <v>26000.0</v>
      </c>
      <c r="N38" s="29">
        <v>164630.0</v>
      </c>
      <c r="O38" s="30">
        <f t="shared" si="1"/>
        <v>0.08231084906</v>
      </c>
    </row>
    <row r="39" ht="15.0" customHeight="1">
      <c r="A39" s="27" t="s">
        <v>56</v>
      </c>
      <c r="B39" s="28">
        <v>138000.0</v>
      </c>
      <c r="C39" s="28">
        <v>61325.0</v>
      </c>
      <c r="D39" s="28">
        <v>22150.0</v>
      </c>
      <c r="E39" s="28">
        <v>21300.0</v>
      </c>
      <c r="F39" s="28">
        <v>19075.0</v>
      </c>
      <c r="G39" s="28">
        <v>11375.0</v>
      </c>
      <c r="H39" s="28">
        <v>26250.0</v>
      </c>
      <c r="I39" s="28">
        <v>54950.0</v>
      </c>
      <c r="J39" s="28">
        <v>130250.0</v>
      </c>
      <c r="K39" s="28">
        <v>77000.0</v>
      </c>
      <c r="L39" s="28">
        <v>46300.0</v>
      </c>
      <c r="M39" s="28">
        <v>87550.0</v>
      </c>
      <c r="N39" s="29">
        <v>695525.0</v>
      </c>
      <c r="O39" s="30">
        <f t="shared" si="1"/>
        <v>0.3477449632</v>
      </c>
    </row>
    <row r="40" ht="15.0" customHeight="1">
      <c r="A40" s="27" t="s">
        <v>57</v>
      </c>
      <c r="B40" s="28">
        <v>2000.0</v>
      </c>
      <c r="C40" s="28"/>
      <c r="D40" s="28"/>
      <c r="E40" s="28"/>
      <c r="F40" s="28"/>
      <c r="G40" s="28"/>
      <c r="H40" s="28"/>
      <c r="I40" s="28">
        <v>19000.0</v>
      </c>
      <c r="J40" s="28">
        <v>26000.0</v>
      </c>
      <c r="K40" s="28">
        <v>20100.0</v>
      </c>
      <c r="L40" s="28">
        <v>17000.0</v>
      </c>
      <c r="M40" s="28">
        <v>13000.0</v>
      </c>
      <c r="N40" s="29">
        <v>97100.0</v>
      </c>
      <c r="O40" s="30">
        <f t="shared" si="1"/>
        <v>0.04854755175</v>
      </c>
    </row>
    <row r="41" ht="15.0" customHeight="1">
      <c r="A41" s="27" t="s">
        <v>58</v>
      </c>
      <c r="B41" s="28">
        <v>6000.0</v>
      </c>
      <c r="C41" s="28"/>
      <c r="D41" s="28"/>
      <c r="E41" s="28"/>
      <c r="F41" s="28"/>
      <c r="G41" s="28">
        <v>4000.0</v>
      </c>
      <c r="H41" s="28">
        <v>71000.0</v>
      </c>
      <c r="I41" s="28">
        <v>214000.0</v>
      </c>
      <c r="J41" s="28">
        <v>1208000.0</v>
      </c>
      <c r="K41" s="28">
        <v>190000.0</v>
      </c>
      <c r="L41" s="28">
        <v>144000.0</v>
      </c>
      <c r="M41" s="28">
        <v>24000.0</v>
      </c>
      <c r="N41" s="29">
        <v>1861000.0</v>
      </c>
      <c r="O41" s="30">
        <f t="shared" si="1"/>
        <v>0.9304530773</v>
      </c>
    </row>
    <row r="42" ht="15.0" customHeight="1">
      <c r="A42" s="27" t="s">
        <v>59</v>
      </c>
      <c r="B42" s="28">
        <v>14680.0</v>
      </c>
      <c r="C42" s="28">
        <v>6755.0</v>
      </c>
      <c r="D42" s="28">
        <v>17250.0</v>
      </c>
      <c r="E42" s="28">
        <v>16650.0</v>
      </c>
      <c r="F42" s="28">
        <v>2506.0</v>
      </c>
      <c r="G42" s="28">
        <v>13055.0</v>
      </c>
      <c r="H42" s="28">
        <v>21045.0</v>
      </c>
      <c r="I42" s="28">
        <v>15250.0</v>
      </c>
      <c r="J42" s="28">
        <v>11055.0</v>
      </c>
      <c r="K42" s="28">
        <v>16655.0</v>
      </c>
      <c r="L42" s="28">
        <v>19000.0</v>
      </c>
      <c r="M42" s="28">
        <v>43700.0</v>
      </c>
      <c r="N42" s="29">
        <v>197601.0</v>
      </c>
      <c r="O42" s="30">
        <f t="shared" si="1"/>
        <v>0.09879551774</v>
      </c>
    </row>
    <row r="43" ht="15.0" customHeight="1">
      <c r="A43" s="27" t="s">
        <v>60</v>
      </c>
      <c r="B43" s="28">
        <v>429.0</v>
      </c>
      <c r="C43" s="28">
        <v>2236.0</v>
      </c>
      <c r="D43" s="28">
        <v>9530.0</v>
      </c>
      <c r="E43" s="28">
        <v>12655.0</v>
      </c>
      <c r="F43" s="28">
        <v>8310.0</v>
      </c>
      <c r="G43" s="28">
        <v>6370.0</v>
      </c>
      <c r="H43" s="28">
        <v>2320.0</v>
      </c>
      <c r="I43" s="28">
        <v>200.0</v>
      </c>
      <c r="J43" s="28"/>
      <c r="K43" s="28"/>
      <c r="L43" s="28"/>
      <c r="M43" s="28">
        <v>1455.0</v>
      </c>
      <c r="N43" s="29">
        <v>43505.0</v>
      </c>
      <c r="O43" s="30">
        <f t="shared" si="1"/>
        <v>0.02175140308</v>
      </c>
    </row>
    <row r="44" ht="15.0" customHeight="1">
      <c r="A44" s="27" t="s">
        <v>61</v>
      </c>
      <c r="B44" s="28">
        <v>25000.0</v>
      </c>
      <c r="C44" s="28">
        <v>35000.0</v>
      </c>
      <c r="D44" s="28"/>
      <c r="E44" s="28">
        <v>28000.0</v>
      </c>
      <c r="F44" s="28">
        <v>10000.0</v>
      </c>
      <c r="G44" s="28">
        <v>9000.0</v>
      </c>
      <c r="H44" s="28"/>
      <c r="I44" s="28"/>
      <c r="J44" s="28"/>
      <c r="K44" s="28"/>
      <c r="L44" s="28"/>
      <c r="M44" s="28">
        <v>5000.0</v>
      </c>
      <c r="N44" s="29">
        <v>112000.0</v>
      </c>
      <c r="O44" s="30">
        <f t="shared" si="1"/>
        <v>0.05599717606</v>
      </c>
    </row>
    <row r="45" ht="15.0" customHeight="1">
      <c r="A45" s="27" t="s">
        <v>62</v>
      </c>
      <c r="B45" s="28">
        <v>9940.0</v>
      </c>
      <c r="C45" s="28">
        <v>8905.0</v>
      </c>
      <c r="D45" s="28">
        <v>4145.0</v>
      </c>
      <c r="E45" s="28">
        <v>1180.0</v>
      </c>
      <c r="F45" s="28">
        <v>265.0</v>
      </c>
      <c r="G45" s="28"/>
      <c r="H45" s="28">
        <v>5520.0</v>
      </c>
      <c r="I45" s="28">
        <v>29570.0</v>
      </c>
      <c r="J45" s="28">
        <v>34475.0</v>
      </c>
      <c r="K45" s="28">
        <v>39250.0</v>
      </c>
      <c r="L45" s="28">
        <v>37000.0</v>
      </c>
      <c r="M45" s="28">
        <v>26700.0</v>
      </c>
      <c r="N45" s="29">
        <v>196950.0</v>
      </c>
      <c r="O45" s="30">
        <f t="shared" si="1"/>
        <v>0.09847003416</v>
      </c>
    </row>
    <row r="46" ht="15.0" customHeight="1">
      <c r="A46" s="27" t="s">
        <v>63</v>
      </c>
      <c r="B46" s="28">
        <v>2065.0</v>
      </c>
      <c r="C46" s="28">
        <v>3330.0</v>
      </c>
      <c r="D46" s="28">
        <v>3859.0</v>
      </c>
      <c r="E46" s="28">
        <v>2410.0</v>
      </c>
      <c r="F46" s="28">
        <v>900.0</v>
      </c>
      <c r="G46" s="28">
        <v>2245.0</v>
      </c>
      <c r="H46" s="28">
        <v>720.0</v>
      </c>
      <c r="I46" s="28">
        <v>2915.0</v>
      </c>
      <c r="J46" s="28">
        <v>4093.0</v>
      </c>
      <c r="K46" s="28">
        <v>2685.0</v>
      </c>
      <c r="L46" s="28">
        <v>3640.0</v>
      </c>
      <c r="M46" s="28">
        <v>3165.0</v>
      </c>
      <c r="N46" s="29">
        <v>32027.0</v>
      </c>
      <c r="O46" s="30">
        <f t="shared" si="1"/>
        <v>0.01601269248</v>
      </c>
    </row>
    <row r="47" ht="15.0" customHeight="1">
      <c r="A47" s="27" t="s">
        <v>64</v>
      </c>
      <c r="B47" s="28">
        <v>10000.0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>
        <v>1000.0</v>
      </c>
      <c r="N47" s="29">
        <v>11000.0</v>
      </c>
      <c r="O47" s="30">
        <f t="shared" si="1"/>
        <v>0.005499722649</v>
      </c>
    </row>
    <row r="48" ht="15.0" customHeight="1">
      <c r="A48" s="27" t="s">
        <v>65</v>
      </c>
      <c r="B48" s="28">
        <v>5000.0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>
        <v>73000.0</v>
      </c>
      <c r="N48" s="29">
        <v>78000.0</v>
      </c>
      <c r="O48" s="30">
        <f t="shared" si="1"/>
        <v>0.03899803333</v>
      </c>
    </row>
    <row r="49" ht="15.0" customHeight="1">
      <c r="A49" s="27" t="s">
        <v>66</v>
      </c>
      <c r="B49" s="28">
        <v>1327.0</v>
      </c>
      <c r="C49" s="28">
        <v>2890.0</v>
      </c>
      <c r="D49" s="28">
        <v>2745.0</v>
      </c>
      <c r="E49" s="28">
        <v>935.0</v>
      </c>
      <c r="F49" s="28">
        <v>1045.0</v>
      </c>
      <c r="G49" s="28">
        <v>415.0</v>
      </c>
      <c r="H49" s="28">
        <v>200.0</v>
      </c>
      <c r="I49" s="28">
        <v>15.0</v>
      </c>
      <c r="J49" s="28"/>
      <c r="K49" s="28"/>
      <c r="L49" s="28">
        <v>330.0</v>
      </c>
      <c r="M49" s="28">
        <v>1025.0</v>
      </c>
      <c r="N49" s="29">
        <v>10927.0</v>
      </c>
      <c r="O49" s="30">
        <f t="shared" si="1"/>
        <v>0.00546322449</v>
      </c>
    </row>
    <row r="50" ht="15.0" customHeight="1">
      <c r="A50" s="27" t="s">
        <v>67</v>
      </c>
      <c r="B50" s="28">
        <v>4415.0</v>
      </c>
      <c r="C50" s="28">
        <v>5345.0</v>
      </c>
      <c r="D50" s="28">
        <v>6685.0</v>
      </c>
      <c r="E50" s="28">
        <v>7600.0</v>
      </c>
      <c r="F50" s="28">
        <v>4700.0</v>
      </c>
      <c r="G50" s="28">
        <v>4770.0</v>
      </c>
      <c r="H50" s="28">
        <v>8455.0</v>
      </c>
      <c r="I50" s="28">
        <v>10005.0</v>
      </c>
      <c r="J50" s="28">
        <v>8560.0</v>
      </c>
      <c r="K50" s="28">
        <v>5310.0</v>
      </c>
      <c r="L50" s="28">
        <v>3115.0</v>
      </c>
      <c r="M50" s="28">
        <v>4340.0</v>
      </c>
      <c r="N50" s="29">
        <v>73300.0</v>
      </c>
      <c r="O50" s="30">
        <f t="shared" si="1"/>
        <v>0.03664815183</v>
      </c>
    </row>
    <row r="51" ht="15.0" customHeight="1">
      <c r="A51" s="27" t="s">
        <v>68</v>
      </c>
      <c r="B51" s="28">
        <v>1750.0</v>
      </c>
      <c r="C51" s="28">
        <v>595.0</v>
      </c>
      <c r="D51" s="28">
        <v>100.0</v>
      </c>
      <c r="E51" s="28">
        <v>50.0</v>
      </c>
      <c r="F51" s="28">
        <v>100.0</v>
      </c>
      <c r="G51" s="28">
        <v>100.0</v>
      </c>
      <c r="H51" s="28">
        <v>150.0</v>
      </c>
      <c r="I51" s="28">
        <v>595.0</v>
      </c>
      <c r="J51" s="28">
        <v>715.0</v>
      </c>
      <c r="K51" s="28">
        <v>1380.0</v>
      </c>
      <c r="L51" s="28">
        <v>1685.0</v>
      </c>
      <c r="M51" s="28">
        <v>1210.0</v>
      </c>
      <c r="N51" s="29">
        <v>8430.0</v>
      </c>
      <c r="O51" s="30">
        <f t="shared" si="1"/>
        <v>0.004214787448</v>
      </c>
    </row>
    <row r="52" ht="15.0" customHeight="1">
      <c r="A52" s="27" t="s">
        <v>69</v>
      </c>
      <c r="B52" s="28">
        <v>2375.0</v>
      </c>
      <c r="C52" s="28">
        <v>1855.0</v>
      </c>
      <c r="D52" s="28">
        <v>2430.0</v>
      </c>
      <c r="E52" s="28">
        <v>2375.0</v>
      </c>
      <c r="F52" s="28">
        <v>875.0</v>
      </c>
      <c r="G52" s="28">
        <v>1150.0</v>
      </c>
      <c r="H52" s="28">
        <v>1570.0</v>
      </c>
      <c r="I52" s="28">
        <v>1850.0</v>
      </c>
      <c r="J52" s="28">
        <v>1870.0</v>
      </c>
      <c r="K52" s="28">
        <v>1700.0</v>
      </c>
      <c r="L52" s="28">
        <v>2154.0</v>
      </c>
      <c r="M52" s="28">
        <v>2235.0</v>
      </c>
      <c r="N52" s="29">
        <v>22439.0</v>
      </c>
      <c r="O52" s="30">
        <f t="shared" si="1"/>
        <v>0.01121893423</v>
      </c>
    </row>
    <row r="53" ht="15.0" customHeight="1">
      <c r="A53" s="27" t="s">
        <v>70</v>
      </c>
      <c r="B53" s="28">
        <v>495.0</v>
      </c>
      <c r="C53" s="28">
        <v>570.0</v>
      </c>
      <c r="D53" s="28">
        <v>550.0</v>
      </c>
      <c r="E53" s="28">
        <v>630.0</v>
      </c>
      <c r="F53" s="28">
        <v>335.0</v>
      </c>
      <c r="G53" s="28">
        <v>159.0</v>
      </c>
      <c r="H53" s="28">
        <v>270.0</v>
      </c>
      <c r="I53" s="28">
        <v>2029.0</v>
      </c>
      <c r="J53" s="28">
        <v>317.0</v>
      </c>
      <c r="K53" s="28">
        <v>250.0</v>
      </c>
      <c r="L53" s="28">
        <v>923.0</v>
      </c>
      <c r="M53" s="28">
        <v>397.0</v>
      </c>
      <c r="N53" s="29">
        <v>6925.0</v>
      </c>
      <c r="O53" s="30">
        <f t="shared" si="1"/>
        <v>0.003462325395</v>
      </c>
    </row>
    <row r="54" ht="15.0" customHeight="1">
      <c r="A54" s="27" t="s">
        <v>71</v>
      </c>
      <c r="B54" s="28">
        <v>9950.0</v>
      </c>
      <c r="C54" s="28">
        <v>9330.0</v>
      </c>
      <c r="D54" s="28">
        <v>5000.0</v>
      </c>
      <c r="E54" s="28">
        <v>2025.0</v>
      </c>
      <c r="F54" s="28">
        <v>250.0</v>
      </c>
      <c r="G54" s="28">
        <v>5405.0</v>
      </c>
      <c r="H54" s="28">
        <v>13105.0</v>
      </c>
      <c r="I54" s="28">
        <v>20660.0</v>
      </c>
      <c r="J54" s="28">
        <v>19050.0</v>
      </c>
      <c r="K54" s="28">
        <v>14850.0</v>
      </c>
      <c r="L54" s="28">
        <v>14900.0</v>
      </c>
      <c r="M54" s="28">
        <v>22150.0</v>
      </c>
      <c r="N54" s="29">
        <v>136675.0</v>
      </c>
      <c r="O54" s="30">
        <f t="shared" si="1"/>
        <v>0.06833405391</v>
      </c>
    </row>
    <row r="55" ht="15.0" customHeight="1">
      <c r="A55" s="27" t="s">
        <v>72</v>
      </c>
      <c r="B55" s="28">
        <v>160.0</v>
      </c>
      <c r="C55" s="28">
        <v>425.0</v>
      </c>
      <c r="D55" s="28">
        <v>473.0</v>
      </c>
      <c r="E55" s="28">
        <v>473.0</v>
      </c>
      <c r="F55" s="28">
        <v>240.0</v>
      </c>
      <c r="G55" s="28">
        <v>585.0</v>
      </c>
      <c r="H55" s="28">
        <v>2505.0</v>
      </c>
      <c r="I55" s="28">
        <v>285.0</v>
      </c>
      <c r="J55" s="28">
        <v>100.0</v>
      </c>
      <c r="K55" s="28">
        <v>10.0</v>
      </c>
      <c r="L55" s="28"/>
      <c r="M55" s="28">
        <v>300.0</v>
      </c>
      <c r="N55" s="29">
        <v>5556.0</v>
      </c>
      <c r="O55" s="30">
        <f t="shared" si="1"/>
        <v>0.002777859913</v>
      </c>
    </row>
    <row r="56" ht="15.0" customHeight="1">
      <c r="A56" s="27" t="s">
        <v>73</v>
      </c>
      <c r="B56" s="28">
        <v>7535.0</v>
      </c>
      <c r="C56" s="28">
        <v>11800.0</v>
      </c>
      <c r="D56" s="28">
        <v>10200.0</v>
      </c>
      <c r="E56" s="28">
        <v>2600.0</v>
      </c>
      <c r="F56" s="28">
        <v>3195.0</v>
      </c>
      <c r="G56" s="28">
        <v>9750.0</v>
      </c>
      <c r="H56" s="28">
        <v>17835.0</v>
      </c>
      <c r="I56" s="28">
        <v>26500.0</v>
      </c>
      <c r="J56" s="28">
        <v>19850.0</v>
      </c>
      <c r="K56" s="28">
        <v>7300.0</v>
      </c>
      <c r="L56" s="28">
        <v>4960.0</v>
      </c>
      <c r="M56" s="28"/>
      <c r="N56" s="29">
        <v>121525.0</v>
      </c>
      <c r="O56" s="30">
        <f t="shared" si="1"/>
        <v>0.0607594359</v>
      </c>
    </row>
    <row r="57" ht="15.0" customHeight="1">
      <c r="A57" s="27" t="s">
        <v>74</v>
      </c>
      <c r="B57" s="28">
        <v>41730.0</v>
      </c>
      <c r="C57" s="28">
        <v>37750.0</v>
      </c>
      <c r="D57" s="28">
        <v>40340.0</v>
      </c>
      <c r="E57" s="28">
        <v>66740.0</v>
      </c>
      <c r="F57" s="28">
        <v>29795.0</v>
      </c>
      <c r="G57" s="28">
        <v>135570.0</v>
      </c>
      <c r="H57" s="28">
        <v>182150.0</v>
      </c>
      <c r="I57" s="28">
        <v>43825.0</v>
      </c>
      <c r="J57" s="28">
        <v>37100.0</v>
      </c>
      <c r="K57" s="28">
        <v>165175.0</v>
      </c>
      <c r="L57" s="28">
        <v>159800.0</v>
      </c>
      <c r="M57" s="28">
        <v>162100.0</v>
      </c>
      <c r="N57" s="29">
        <v>1102075.0</v>
      </c>
      <c r="O57" s="30">
        <f t="shared" si="1"/>
        <v>0.5510097126</v>
      </c>
    </row>
    <row r="58" ht="15.0" customHeight="1">
      <c r="A58" s="27" t="s">
        <v>75</v>
      </c>
      <c r="B58" s="28">
        <v>8600.0</v>
      </c>
      <c r="C58" s="28">
        <v>7275.0</v>
      </c>
      <c r="D58" s="28">
        <v>13295.0</v>
      </c>
      <c r="E58" s="28">
        <v>13920.0</v>
      </c>
      <c r="F58" s="28">
        <v>22965.0</v>
      </c>
      <c r="G58" s="28">
        <v>22250.0</v>
      </c>
      <c r="H58" s="28">
        <v>18865.0</v>
      </c>
      <c r="I58" s="28">
        <v>28990.0</v>
      </c>
      <c r="J58" s="28">
        <v>25450.0</v>
      </c>
      <c r="K58" s="28">
        <v>37850.0</v>
      </c>
      <c r="L58" s="28">
        <v>34760.0</v>
      </c>
      <c r="M58" s="28">
        <v>47850.0</v>
      </c>
      <c r="N58" s="29">
        <v>282070.0</v>
      </c>
      <c r="O58" s="30">
        <f t="shared" si="1"/>
        <v>0.141027888</v>
      </c>
    </row>
    <row r="59" ht="15.0" customHeight="1">
      <c r="A59" s="27" t="s">
        <v>77</v>
      </c>
      <c r="B59" s="28">
        <v>151000.0</v>
      </c>
      <c r="C59" s="28">
        <v>183000.0</v>
      </c>
      <c r="D59" s="28">
        <v>180000.0</v>
      </c>
      <c r="E59" s="28">
        <v>247000.0</v>
      </c>
      <c r="F59" s="28">
        <v>197000.0</v>
      </c>
      <c r="G59" s="28">
        <v>117100.0</v>
      </c>
      <c r="H59" s="28">
        <v>115000.0</v>
      </c>
      <c r="I59" s="28">
        <v>153000.0</v>
      </c>
      <c r="J59" s="28">
        <v>76000.0</v>
      </c>
      <c r="K59" s="28">
        <v>77000.0</v>
      </c>
      <c r="L59" s="28">
        <v>145000.0</v>
      </c>
      <c r="M59" s="28">
        <v>112000.0</v>
      </c>
      <c r="N59" s="29">
        <v>1753100.0</v>
      </c>
      <c r="O59" s="30">
        <f t="shared" si="1"/>
        <v>0.8765057978</v>
      </c>
    </row>
    <row r="60" ht="15.0" customHeight="1">
      <c r="A60" s="27" t="s">
        <v>79</v>
      </c>
      <c r="B60" s="28">
        <v>5655.0</v>
      </c>
      <c r="C60" s="28">
        <v>7280.0</v>
      </c>
      <c r="D60" s="28">
        <v>7910.0</v>
      </c>
      <c r="E60" s="28">
        <v>5710.0</v>
      </c>
      <c r="F60" s="28">
        <v>8235.0</v>
      </c>
      <c r="G60" s="28">
        <v>5400.0</v>
      </c>
      <c r="H60" s="28">
        <v>7975.0</v>
      </c>
      <c r="I60" s="28">
        <v>9180.0</v>
      </c>
      <c r="J60" s="28">
        <v>9100.0</v>
      </c>
      <c r="K60" s="28">
        <v>13150.0</v>
      </c>
      <c r="L60" s="28">
        <v>4255.0</v>
      </c>
      <c r="M60" s="28">
        <v>8170.0</v>
      </c>
      <c r="N60" s="29">
        <v>92020.0</v>
      </c>
      <c r="O60" s="30">
        <f t="shared" si="1"/>
        <v>0.04600767983</v>
      </c>
    </row>
    <row r="61" ht="15.0" customHeight="1">
      <c r="A61" s="27" t="s">
        <v>80</v>
      </c>
      <c r="B61" s="28">
        <v>66395.0</v>
      </c>
      <c r="C61" s="28">
        <v>467695.0</v>
      </c>
      <c r="D61" s="28">
        <v>1306400.0</v>
      </c>
      <c r="E61" s="28">
        <v>183850.0</v>
      </c>
      <c r="F61" s="28"/>
      <c r="G61" s="28"/>
      <c r="H61" s="28"/>
      <c r="I61" s="28"/>
      <c r="J61" s="28"/>
      <c r="K61" s="28"/>
      <c r="L61" s="28"/>
      <c r="M61" s="28"/>
      <c r="N61" s="29">
        <v>2024340.0</v>
      </c>
      <c r="O61" s="30">
        <f t="shared" si="1"/>
        <v>1.012118959</v>
      </c>
    </row>
    <row r="62" ht="15.0" customHeight="1">
      <c r="A62" s="27" t="s">
        <v>81</v>
      </c>
      <c r="B62" s="28">
        <v>4750.0</v>
      </c>
      <c r="C62" s="28">
        <v>305.0</v>
      </c>
      <c r="D62" s="28">
        <v>110.0</v>
      </c>
      <c r="E62" s="28"/>
      <c r="F62" s="28"/>
      <c r="G62" s="28"/>
      <c r="H62" s="28"/>
      <c r="I62" s="28"/>
      <c r="J62" s="28">
        <v>10.0</v>
      </c>
      <c r="K62" s="28">
        <v>12869.0</v>
      </c>
      <c r="L62" s="28">
        <v>48910.0</v>
      </c>
      <c r="M62" s="28">
        <v>53740.0</v>
      </c>
      <c r="N62" s="29">
        <v>120694.0</v>
      </c>
      <c r="O62" s="30">
        <f t="shared" si="1"/>
        <v>0.06034395685</v>
      </c>
    </row>
    <row r="63" ht="15.0" customHeight="1">
      <c r="A63" s="27" t="s">
        <v>82</v>
      </c>
      <c r="B63" s="28">
        <v>9850.0</v>
      </c>
      <c r="C63" s="28">
        <v>2100.0</v>
      </c>
      <c r="D63" s="28"/>
      <c r="E63" s="28"/>
      <c r="F63" s="28"/>
      <c r="G63" s="28">
        <v>78000.0</v>
      </c>
      <c r="H63" s="28">
        <v>1400600.0</v>
      </c>
      <c r="I63" s="28">
        <v>4273700.0</v>
      </c>
      <c r="J63" s="28">
        <v>5608500.0</v>
      </c>
      <c r="K63" s="28">
        <v>2158000.0</v>
      </c>
      <c r="L63" s="28">
        <v>682600.0</v>
      </c>
      <c r="M63" s="28">
        <v>342300.0</v>
      </c>
      <c r="N63" s="29">
        <v>1.455565E7</v>
      </c>
      <c r="O63" s="30">
        <f t="shared" si="1"/>
        <v>7.277457998</v>
      </c>
    </row>
    <row r="64" ht="15.0" customHeight="1">
      <c r="A64" s="27" t="s">
        <v>83</v>
      </c>
      <c r="B64" s="28">
        <v>1483600.0</v>
      </c>
      <c r="C64" s="28">
        <v>1518100.0</v>
      </c>
      <c r="D64" s="28">
        <v>209300.0</v>
      </c>
      <c r="E64" s="28">
        <v>21060.0</v>
      </c>
      <c r="F64" s="28">
        <v>18710.0</v>
      </c>
      <c r="G64" s="28">
        <v>18200.0</v>
      </c>
      <c r="H64" s="28">
        <v>7450.0</v>
      </c>
      <c r="I64" s="28">
        <v>5620.0</v>
      </c>
      <c r="J64" s="28">
        <v>3350.0</v>
      </c>
      <c r="K64" s="28">
        <v>10600.0</v>
      </c>
      <c r="L64" s="28">
        <v>92600.0</v>
      </c>
      <c r="M64" s="28">
        <v>576800.0</v>
      </c>
      <c r="N64" s="29">
        <v>3965390.0</v>
      </c>
      <c r="O64" s="30">
        <f t="shared" si="1"/>
        <v>1.982595018</v>
      </c>
    </row>
    <row r="65" ht="15.0" customHeight="1">
      <c r="A65" s="27" t="s">
        <v>84</v>
      </c>
      <c r="B65" s="28">
        <v>26000.0</v>
      </c>
      <c r="C65" s="28">
        <v>9800.0</v>
      </c>
      <c r="D65" s="28">
        <v>12200.0</v>
      </c>
      <c r="E65" s="28">
        <v>8715.0</v>
      </c>
      <c r="F65" s="28">
        <v>12580.0</v>
      </c>
      <c r="G65" s="28">
        <v>88650.0</v>
      </c>
      <c r="H65" s="28">
        <v>93000.0</v>
      </c>
      <c r="I65" s="28">
        <v>12110.0</v>
      </c>
      <c r="J65" s="28">
        <v>7735.0</v>
      </c>
      <c r="K65" s="28">
        <v>18300.0</v>
      </c>
      <c r="L65" s="28">
        <v>29150.0</v>
      </c>
      <c r="M65" s="28">
        <v>36750.0</v>
      </c>
      <c r="N65" s="29">
        <v>354990.0</v>
      </c>
      <c r="O65" s="30">
        <f t="shared" si="1"/>
        <v>0.1774860494</v>
      </c>
    </row>
    <row r="66" ht="15.0" customHeight="1">
      <c r="A66" s="27" t="s">
        <v>85</v>
      </c>
      <c r="B66" s="28"/>
      <c r="C66" s="28"/>
      <c r="D66" s="28"/>
      <c r="E66" s="28">
        <v>14500.0</v>
      </c>
      <c r="F66" s="28"/>
      <c r="G66" s="28"/>
      <c r="H66" s="28">
        <v>7000.0</v>
      </c>
      <c r="I66" s="28">
        <v>200.0</v>
      </c>
      <c r="J66" s="28"/>
      <c r="K66" s="28">
        <v>1340.0</v>
      </c>
      <c r="L66" s="28">
        <v>1400.0</v>
      </c>
      <c r="M66" s="28"/>
      <c r="N66" s="29">
        <v>24440.0</v>
      </c>
      <c r="O66" s="30">
        <f t="shared" si="1"/>
        <v>0.01221938378</v>
      </c>
    </row>
    <row r="67" ht="15.0" customHeight="1">
      <c r="A67" s="27" t="s">
        <v>86</v>
      </c>
      <c r="B67" s="28">
        <v>5370.0</v>
      </c>
      <c r="C67" s="28">
        <v>10380.0</v>
      </c>
      <c r="D67" s="28">
        <v>8270.0</v>
      </c>
      <c r="E67" s="28">
        <v>18955.0</v>
      </c>
      <c r="F67" s="28">
        <v>10340.0</v>
      </c>
      <c r="G67" s="28">
        <v>21260.0</v>
      </c>
      <c r="H67" s="28">
        <v>8780.0</v>
      </c>
      <c r="I67" s="28">
        <v>8740.0</v>
      </c>
      <c r="J67" s="28">
        <v>6400.0</v>
      </c>
      <c r="K67" s="28">
        <v>9100.0</v>
      </c>
      <c r="L67" s="28">
        <v>7440.0</v>
      </c>
      <c r="M67" s="28">
        <v>5450.0</v>
      </c>
      <c r="N67" s="29">
        <v>120485.0</v>
      </c>
      <c r="O67" s="30">
        <f t="shared" si="1"/>
        <v>0.06023946212</v>
      </c>
    </row>
    <row r="68" ht="15.0" customHeight="1">
      <c r="A68" s="27" t="s">
        <v>87</v>
      </c>
      <c r="B68" s="28">
        <v>724150.0</v>
      </c>
      <c r="C68" s="28">
        <v>451100.0</v>
      </c>
      <c r="D68" s="28">
        <v>418800.0</v>
      </c>
      <c r="E68" s="28">
        <v>449100.0</v>
      </c>
      <c r="F68" s="28">
        <v>657000.0</v>
      </c>
      <c r="G68" s="28">
        <v>721610.0</v>
      </c>
      <c r="H68" s="28">
        <v>306000.0</v>
      </c>
      <c r="I68" s="28">
        <v>232000.0</v>
      </c>
      <c r="J68" s="28">
        <v>177000.0</v>
      </c>
      <c r="K68" s="28">
        <v>106000.0</v>
      </c>
      <c r="L68" s="28">
        <v>182000.0</v>
      </c>
      <c r="M68" s="28">
        <v>262000.0</v>
      </c>
      <c r="N68" s="29">
        <v>4686760.0</v>
      </c>
      <c r="O68" s="30">
        <f t="shared" si="1"/>
        <v>2.343261829</v>
      </c>
    </row>
    <row r="69" ht="15.0" customHeight="1">
      <c r="A69" s="27" t="s">
        <v>88</v>
      </c>
      <c r="B69" s="28">
        <v>233200.0</v>
      </c>
      <c r="C69" s="28">
        <v>188000.0</v>
      </c>
      <c r="D69" s="28">
        <v>66200.0</v>
      </c>
      <c r="E69" s="28">
        <v>68750.0</v>
      </c>
      <c r="F69" s="28"/>
      <c r="G69" s="28"/>
      <c r="H69" s="28"/>
      <c r="I69" s="28"/>
      <c r="J69" s="28"/>
      <c r="K69" s="28"/>
      <c r="L69" s="28">
        <v>9000.0</v>
      </c>
      <c r="M69" s="28">
        <v>56000.0</v>
      </c>
      <c r="N69" s="29">
        <v>621150.0</v>
      </c>
      <c r="O69" s="30">
        <f t="shared" si="1"/>
        <v>0.3105593385</v>
      </c>
    </row>
    <row r="70" ht="15.0" customHeight="1">
      <c r="A70" s="27" t="s">
        <v>89</v>
      </c>
      <c r="B70" s="28"/>
      <c r="C70" s="28"/>
      <c r="D70" s="28"/>
      <c r="E70" s="28"/>
      <c r="F70" s="28"/>
      <c r="G70" s="28">
        <v>1000.0</v>
      </c>
      <c r="H70" s="28">
        <v>9000.0</v>
      </c>
      <c r="I70" s="28">
        <v>1000.0</v>
      </c>
      <c r="J70" s="28">
        <v>1000.0</v>
      </c>
      <c r="K70" s="28">
        <v>3000.0</v>
      </c>
      <c r="L70" s="28">
        <v>1000.0</v>
      </c>
      <c r="M70" s="28"/>
      <c r="N70" s="29">
        <v>16000.0</v>
      </c>
      <c r="O70" s="30">
        <f t="shared" si="1"/>
        <v>0.00799959658</v>
      </c>
    </row>
    <row r="71" ht="15.0" customHeight="1">
      <c r="A71" s="27" t="s">
        <v>90</v>
      </c>
      <c r="B71" s="28"/>
      <c r="C71" s="28"/>
      <c r="D71" s="28"/>
      <c r="E71" s="28"/>
      <c r="F71" s="28"/>
      <c r="G71" s="28"/>
      <c r="H71" s="28">
        <v>5500.0</v>
      </c>
      <c r="I71" s="28"/>
      <c r="J71" s="28"/>
      <c r="K71" s="28"/>
      <c r="L71" s="28"/>
      <c r="M71" s="28"/>
      <c r="N71" s="29">
        <v>5500.0</v>
      </c>
      <c r="O71" s="30">
        <f t="shared" si="1"/>
        <v>0.002749861324</v>
      </c>
    </row>
    <row r="72" ht="15.0" customHeight="1">
      <c r="A72" s="27" t="s">
        <v>91</v>
      </c>
      <c r="B72" s="28">
        <v>4050.0</v>
      </c>
      <c r="C72" s="28">
        <v>1460.0</v>
      </c>
      <c r="D72" s="28">
        <v>2350.0</v>
      </c>
      <c r="E72" s="28">
        <v>7060.0</v>
      </c>
      <c r="F72" s="28">
        <v>2740.0</v>
      </c>
      <c r="G72" s="28">
        <v>7150.0</v>
      </c>
      <c r="H72" s="28">
        <v>10625.0</v>
      </c>
      <c r="I72" s="28">
        <v>6000.0</v>
      </c>
      <c r="J72" s="28">
        <v>2200.0</v>
      </c>
      <c r="K72" s="28">
        <v>7100.0</v>
      </c>
      <c r="L72" s="28">
        <v>6090.0</v>
      </c>
      <c r="M72" s="28">
        <v>1650.0</v>
      </c>
      <c r="N72" s="29">
        <v>58475.0</v>
      </c>
      <c r="O72" s="30">
        <f t="shared" si="1"/>
        <v>0.02923602563</v>
      </c>
    </row>
    <row r="73" ht="15.0" customHeight="1">
      <c r="A73" s="27" t="s">
        <v>92</v>
      </c>
      <c r="B73" s="28">
        <v>230425.0</v>
      </c>
      <c r="C73" s="28">
        <v>24576.0</v>
      </c>
      <c r="D73" s="28">
        <v>12470.0</v>
      </c>
      <c r="E73" s="28">
        <v>7010.0</v>
      </c>
      <c r="F73" s="28">
        <v>24080.0</v>
      </c>
      <c r="G73" s="28">
        <v>48010.0</v>
      </c>
      <c r="H73" s="28">
        <v>44125.0</v>
      </c>
      <c r="I73" s="28">
        <v>34060.0</v>
      </c>
      <c r="J73" s="28">
        <v>9350.0</v>
      </c>
      <c r="K73" s="28">
        <v>8110.0</v>
      </c>
      <c r="L73" s="28">
        <v>9200.0</v>
      </c>
      <c r="M73" s="28">
        <v>17250.0</v>
      </c>
      <c r="N73" s="29">
        <v>468666.0</v>
      </c>
      <c r="O73" s="30">
        <f t="shared" si="1"/>
        <v>0.2343211832</v>
      </c>
    </row>
    <row r="74" ht="15.0" customHeight="1">
      <c r="A74" s="27" t="s">
        <v>93</v>
      </c>
      <c r="B74" s="28"/>
      <c r="C74" s="28"/>
      <c r="D74" s="28"/>
      <c r="E74" s="28">
        <v>13250.0</v>
      </c>
      <c r="F74" s="28">
        <v>5060.0</v>
      </c>
      <c r="G74" s="28"/>
      <c r="H74" s="28">
        <v>250.0</v>
      </c>
      <c r="I74" s="28"/>
      <c r="J74" s="28">
        <v>145000.0</v>
      </c>
      <c r="K74" s="28">
        <v>21000.0</v>
      </c>
      <c r="L74" s="28"/>
      <c r="M74" s="28"/>
      <c r="N74" s="29">
        <v>184560.0</v>
      </c>
      <c r="O74" s="30">
        <f t="shared" si="1"/>
        <v>0.09227534655</v>
      </c>
    </row>
    <row r="75" ht="15.0" customHeight="1">
      <c r="A75" s="27" t="s">
        <v>94</v>
      </c>
      <c r="B75" s="28"/>
      <c r="C75" s="28"/>
      <c r="D75" s="28"/>
      <c r="E75" s="28">
        <v>1000.0</v>
      </c>
      <c r="F75" s="28">
        <v>2000.0</v>
      </c>
      <c r="G75" s="28">
        <v>14000.0</v>
      </c>
      <c r="H75" s="28">
        <v>24000.0</v>
      </c>
      <c r="I75" s="28">
        <v>8000.0</v>
      </c>
      <c r="J75" s="28">
        <v>14000.0</v>
      </c>
      <c r="K75" s="28">
        <v>5000.0</v>
      </c>
      <c r="L75" s="28">
        <v>4000.0</v>
      </c>
      <c r="M75" s="28"/>
      <c r="N75" s="29">
        <v>72000.0</v>
      </c>
      <c r="O75" s="30">
        <f t="shared" si="1"/>
        <v>0.03599818461</v>
      </c>
    </row>
    <row r="76" ht="15.0" customHeight="1">
      <c r="A76" s="27" t="s">
        <v>115</v>
      </c>
      <c r="B76" s="28"/>
      <c r="C76" s="28">
        <v>4950.0</v>
      </c>
      <c r="D76" s="28">
        <v>1900.0</v>
      </c>
      <c r="E76" s="28"/>
      <c r="F76" s="28"/>
      <c r="G76" s="28"/>
      <c r="H76" s="28"/>
      <c r="I76" s="28"/>
      <c r="J76" s="28"/>
      <c r="K76" s="28"/>
      <c r="L76" s="28"/>
      <c r="M76" s="28"/>
      <c r="N76" s="29">
        <v>6850.0</v>
      </c>
      <c r="O76" s="30">
        <f t="shared" si="1"/>
        <v>0.003424827286</v>
      </c>
    </row>
    <row r="77" ht="15.0" customHeight="1">
      <c r="A77" s="27" t="s">
        <v>116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>
        <v>300.0</v>
      </c>
      <c r="M77" s="28"/>
      <c r="N77" s="29">
        <v>300.0</v>
      </c>
      <c r="O77" s="30">
        <f t="shared" si="1"/>
        <v>0.0001499924359</v>
      </c>
    </row>
    <row r="78" ht="15.0" customHeight="1">
      <c r="A78" s="27" t="s">
        <v>95</v>
      </c>
      <c r="B78" s="28">
        <v>1380.0</v>
      </c>
      <c r="C78" s="28"/>
      <c r="D78" s="28"/>
      <c r="E78" s="28"/>
      <c r="F78" s="28">
        <v>270.0</v>
      </c>
      <c r="G78" s="28">
        <v>1100.0</v>
      </c>
      <c r="H78" s="28">
        <v>1475.0</v>
      </c>
      <c r="I78" s="28">
        <v>2100.0</v>
      </c>
      <c r="J78" s="28">
        <v>100.0</v>
      </c>
      <c r="K78" s="28">
        <v>4450.0</v>
      </c>
      <c r="L78" s="28">
        <v>8500.0</v>
      </c>
      <c r="M78" s="28">
        <v>5850.0</v>
      </c>
      <c r="N78" s="29">
        <v>25225.0</v>
      </c>
      <c r="O78" s="30">
        <f t="shared" si="1"/>
        <v>0.01261186398</v>
      </c>
    </row>
    <row r="79" ht="15.0" customHeight="1">
      <c r="A79" s="27" t="s">
        <v>96</v>
      </c>
      <c r="B79" s="28"/>
      <c r="C79" s="28"/>
      <c r="D79" s="28"/>
      <c r="E79" s="28"/>
      <c r="F79" s="28"/>
      <c r="G79" s="28"/>
      <c r="H79" s="28">
        <v>1300.0</v>
      </c>
      <c r="I79" s="28"/>
      <c r="J79" s="28"/>
      <c r="K79" s="28">
        <v>100.0</v>
      </c>
      <c r="L79" s="28"/>
      <c r="M79" s="28"/>
      <c r="N79" s="29">
        <v>1400.0</v>
      </c>
      <c r="O79" s="30">
        <f t="shared" si="1"/>
        <v>0.0006999647008</v>
      </c>
    </row>
    <row r="80" ht="15.0" customHeight="1">
      <c r="A80" s="27" t="s">
        <v>117</v>
      </c>
      <c r="B80" s="28"/>
      <c r="C80" s="28"/>
      <c r="D80" s="28"/>
      <c r="E80" s="28"/>
      <c r="F80" s="28"/>
      <c r="G80" s="28"/>
      <c r="H80" s="28"/>
      <c r="I80" s="28">
        <v>12.0</v>
      </c>
      <c r="J80" s="28"/>
      <c r="K80" s="28"/>
      <c r="L80" s="28"/>
      <c r="M80" s="28"/>
      <c r="N80" s="29">
        <v>12.0</v>
      </c>
      <c r="O80" s="30">
        <f t="shared" si="1"/>
        <v>0.000005999697435</v>
      </c>
    </row>
    <row r="81" ht="15.0" customHeight="1">
      <c r="A81" s="27" t="s">
        <v>97</v>
      </c>
      <c r="B81" s="28">
        <v>55100.0</v>
      </c>
      <c r="C81" s="28">
        <v>94150.0</v>
      </c>
      <c r="D81" s="28">
        <v>153400.0</v>
      </c>
      <c r="E81" s="28">
        <v>66100.0</v>
      </c>
      <c r="F81" s="28">
        <v>53000.0</v>
      </c>
      <c r="G81" s="28">
        <v>291500.0</v>
      </c>
      <c r="H81" s="28">
        <v>318400.0</v>
      </c>
      <c r="I81" s="28">
        <v>412000.0</v>
      </c>
      <c r="J81" s="28">
        <v>341000.0</v>
      </c>
      <c r="K81" s="28">
        <v>143000.0</v>
      </c>
      <c r="L81" s="28">
        <v>236500.0</v>
      </c>
      <c r="M81" s="28">
        <v>240000.0</v>
      </c>
      <c r="N81" s="29">
        <v>2404150.0</v>
      </c>
      <c r="O81" s="30">
        <f t="shared" si="1"/>
        <v>1.202014382</v>
      </c>
    </row>
    <row r="82" ht="15.0" customHeight="1">
      <c r="A82" s="27" t="s">
        <v>98</v>
      </c>
      <c r="B82" s="28">
        <v>9000.0</v>
      </c>
      <c r="C82" s="28">
        <v>4000.0</v>
      </c>
      <c r="D82" s="28">
        <v>9000.0</v>
      </c>
      <c r="E82" s="28">
        <v>12000.0</v>
      </c>
      <c r="F82" s="28">
        <v>4000.0</v>
      </c>
      <c r="G82" s="28">
        <v>2000.0</v>
      </c>
      <c r="H82" s="28">
        <v>4000.0</v>
      </c>
      <c r="I82" s="28">
        <v>4100.0</v>
      </c>
      <c r="J82" s="28">
        <v>16000.0</v>
      </c>
      <c r="K82" s="28">
        <v>7000.0</v>
      </c>
      <c r="L82" s="28">
        <v>4000.0</v>
      </c>
      <c r="M82" s="28">
        <v>12100.0</v>
      </c>
      <c r="N82" s="29">
        <v>87200.0</v>
      </c>
      <c r="O82" s="30">
        <f t="shared" si="1"/>
        <v>0.04359780136</v>
      </c>
    </row>
    <row r="83" ht="15.0" customHeight="1">
      <c r="A83" s="27" t="s">
        <v>99</v>
      </c>
      <c r="B83" s="28">
        <v>381000.0</v>
      </c>
      <c r="C83" s="28">
        <v>340100.0</v>
      </c>
      <c r="D83" s="28">
        <v>224800.0</v>
      </c>
      <c r="E83" s="28">
        <v>108125.0</v>
      </c>
      <c r="F83" s="28">
        <v>66400.0</v>
      </c>
      <c r="G83" s="28">
        <v>149525.0</v>
      </c>
      <c r="H83" s="28">
        <v>252700.0</v>
      </c>
      <c r="I83" s="28">
        <v>482000.0</v>
      </c>
      <c r="J83" s="28">
        <v>405000.0</v>
      </c>
      <c r="K83" s="28">
        <v>421000.0</v>
      </c>
      <c r="L83" s="28">
        <v>560000.0</v>
      </c>
      <c r="M83" s="28">
        <v>612000.0</v>
      </c>
      <c r="N83" s="29">
        <v>4002650.0</v>
      </c>
      <c r="O83" s="30">
        <f t="shared" si="1"/>
        <v>2.001224078</v>
      </c>
    </row>
    <row r="84" ht="15.0" customHeight="1">
      <c r="A84" s="27" t="s">
        <v>100</v>
      </c>
      <c r="B84" s="28">
        <v>33000.0</v>
      </c>
      <c r="C84" s="28">
        <v>14000.0</v>
      </c>
      <c r="D84" s="28">
        <v>17000.0</v>
      </c>
      <c r="E84" s="28">
        <v>25000.0</v>
      </c>
      <c r="F84" s="28">
        <v>21000.0</v>
      </c>
      <c r="G84" s="28">
        <v>11000.0</v>
      </c>
      <c r="H84" s="28">
        <v>54000.0</v>
      </c>
      <c r="I84" s="28">
        <v>100000.0</v>
      </c>
      <c r="J84" s="28">
        <v>73000.0</v>
      </c>
      <c r="K84" s="28">
        <v>63000.0</v>
      </c>
      <c r="L84" s="28">
        <v>109000.0</v>
      </c>
      <c r="M84" s="28">
        <v>36000.0</v>
      </c>
      <c r="N84" s="29">
        <v>556000.0</v>
      </c>
      <c r="O84" s="30">
        <f t="shared" si="1"/>
        <v>0.2779859812</v>
      </c>
    </row>
    <row r="85" ht="15.0" customHeight="1">
      <c r="A85" s="27" t="s">
        <v>101</v>
      </c>
      <c r="B85" s="28">
        <v>19600.0</v>
      </c>
      <c r="C85" s="28">
        <v>17700.0</v>
      </c>
      <c r="D85" s="28">
        <v>19450.0</v>
      </c>
      <c r="E85" s="28">
        <v>35315.0</v>
      </c>
      <c r="F85" s="28">
        <v>17315.0</v>
      </c>
      <c r="G85" s="28">
        <v>9725.0</v>
      </c>
      <c r="H85" s="28">
        <v>9055.0</v>
      </c>
      <c r="I85" s="28">
        <v>28080.0</v>
      </c>
      <c r="J85" s="28">
        <v>27700.0</v>
      </c>
      <c r="K85" s="28">
        <v>41040.0</v>
      </c>
      <c r="L85" s="28">
        <v>50670.0</v>
      </c>
      <c r="M85" s="28">
        <v>45080.0</v>
      </c>
      <c r="N85" s="29">
        <v>320730.0</v>
      </c>
      <c r="O85" s="30">
        <f t="shared" si="1"/>
        <v>0.1603569132</v>
      </c>
    </row>
    <row r="86" ht="15.0" customHeight="1">
      <c r="A86" s="27" t="s">
        <v>102</v>
      </c>
      <c r="B86" s="28">
        <v>19715.0</v>
      </c>
      <c r="C86" s="28">
        <v>20450.0</v>
      </c>
      <c r="D86" s="28">
        <v>20450.0</v>
      </c>
      <c r="E86" s="28">
        <v>23820.0</v>
      </c>
      <c r="F86" s="28">
        <v>16175.0</v>
      </c>
      <c r="G86" s="28">
        <v>26850.0</v>
      </c>
      <c r="H86" s="28">
        <v>29950.0</v>
      </c>
      <c r="I86" s="28">
        <v>36250.0</v>
      </c>
      <c r="J86" s="28">
        <v>29100.0</v>
      </c>
      <c r="K86" s="28">
        <v>31800.0</v>
      </c>
      <c r="L86" s="28">
        <v>39375.0</v>
      </c>
      <c r="M86" s="28">
        <v>40650.0</v>
      </c>
      <c r="N86" s="29">
        <v>334585.0</v>
      </c>
      <c r="O86" s="30">
        <f t="shared" si="1"/>
        <v>0.1672840639</v>
      </c>
    </row>
    <row r="87" ht="15.0" customHeight="1">
      <c r="A87" s="27" t="s">
        <v>103</v>
      </c>
      <c r="B87" s="28">
        <v>53000.0</v>
      </c>
      <c r="C87" s="28">
        <v>37000.0</v>
      </c>
      <c r="D87" s="28">
        <v>47000.0</v>
      </c>
      <c r="E87" s="28">
        <v>14000.0</v>
      </c>
      <c r="F87" s="28">
        <v>2000.0</v>
      </c>
      <c r="G87" s="28">
        <v>198000.0</v>
      </c>
      <c r="H87" s="28">
        <v>140500.0</v>
      </c>
      <c r="I87" s="28">
        <v>206000.0</v>
      </c>
      <c r="J87" s="28">
        <v>315500.0</v>
      </c>
      <c r="K87" s="28">
        <v>196500.0</v>
      </c>
      <c r="L87" s="28">
        <v>338000.0</v>
      </c>
      <c r="M87" s="28">
        <v>243500.0</v>
      </c>
      <c r="N87" s="29">
        <v>1791000.0</v>
      </c>
      <c r="O87" s="30">
        <f t="shared" si="1"/>
        <v>0.8954548422</v>
      </c>
    </row>
    <row r="88" ht="15.0" customHeight="1">
      <c r="A88" s="27" t="s">
        <v>104</v>
      </c>
      <c r="B88" s="28">
        <v>42000.0</v>
      </c>
      <c r="C88" s="28">
        <v>18000.0</v>
      </c>
      <c r="D88" s="28">
        <v>13000.0</v>
      </c>
      <c r="E88" s="28">
        <v>38000.0</v>
      </c>
      <c r="F88" s="28">
        <v>27000.0</v>
      </c>
      <c r="G88" s="28">
        <v>24000.0</v>
      </c>
      <c r="H88" s="28">
        <v>7000.0</v>
      </c>
      <c r="I88" s="28"/>
      <c r="J88" s="28">
        <v>1000.0</v>
      </c>
      <c r="K88" s="28">
        <v>3000.0</v>
      </c>
      <c r="L88" s="28">
        <v>15500.0</v>
      </c>
      <c r="M88" s="28">
        <v>7000.0</v>
      </c>
      <c r="N88" s="29">
        <v>195500.0</v>
      </c>
      <c r="O88" s="30">
        <f t="shared" si="1"/>
        <v>0.09774507072</v>
      </c>
    </row>
    <row r="89" ht="15.0" customHeight="1">
      <c r="A89" s="27" t="s">
        <v>105</v>
      </c>
      <c r="B89" s="28"/>
      <c r="C89" s="28"/>
      <c r="D89" s="28"/>
      <c r="E89" s="28"/>
      <c r="F89" s="28">
        <v>3000.0</v>
      </c>
      <c r="G89" s="28">
        <v>100.0</v>
      </c>
      <c r="H89" s="28"/>
      <c r="I89" s="28"/>
      <c r="J89" s="28"/>
      <c r="K89" s="28"/>
      <c r="L89" s="28"/>
      <c r="M89" s="28"/>
      <c r="N89" s="29">
        <v>3100.0</v>
      </c>
      <c r="O89" s="30">
        <f t="shared" si="1"/>
        <v>0.001549921837</v>
      </c>
    </row>
    <row r="90" ht="15.0" customHeight="1">
      <c r="A90" s="27" t="s">
        <v>106</v>
      </c>
      <c r="B90" s="28">
        <v>20.0</v>
      </c>
      <c r="C90" s="28">
        <v>340.0</v>
      </c>
      <c r="D90" s="28">
        <v>230.0</v>
      </c>
      <c r="E90" s="28">
        <v>460.0</v>
      </c>
      <c r="F90" s="28">
        <v>665.0</v>
      </c>
      <c r="G90" s="28">
        <v>610.0</v>
      </c>
      <c r="H90" s="28">
        <v>1530.0</v>
      </c>
      <c r="I90" s="28">
        <v>525.0</v>
      </c>
      <c r="J90" s="28">
        <v>105.0</v>
      </c>
      <c r="K90" s="28"/>
      <c r="L90" s="28"/>
      <c r="M90" s="28">
        <v>70.0</v>
      </c>
      <c r="N90" s="29">
        <v>4555.0</v>
      </c>
      <c r="O90" s="30">
        <f t="shared" si="1"/>
        <v>0.002277385151</v>
      </c>
    </row>
    <row r="91" ht="15.0" customHeight="1">
      <c r="A91" s="27" t="s">
        <v>107</v>
      </c>
      <c r="B91" s="28">
        <v>180000.0</v>
      </c>
      <c r="C91" s="28">
        <v>222000.0</v>
      </c>
      <c r="D91" s="28">
        <v>247000.0</v>
      </c>
      <c r="E91" s="28">
        <v>184000.0</v>
      </c>
      <c r="F91" s="28">
        <v>243025.0</v>
      </c>
      <c r="G91" s="28">
        <v>254750.0</v>
      </c>
      <c r="H91" s="28">
        <v>282100.0</v>
      </c>
      <c r="I91" s="28">
        <v>233165.0</v>
      </c>
      <c r="J91" s="28">
        <v>312050.0</v>
      </c>
      <c r="K91" s="28">
        <v>261700.0</v>
      </c>
      <c r="L91" s="28">
        <v>271850.0</v>
      </c>
      <c r="M91" s="28">
        <v>246000.0</v>
      </c>
      <c r="N91" s="29">
        <v>2937640.0</v>
      </c>
      <c r="O91" s="30">
        <f t="shared" si="1"/>
        <v>1.468745931</v>
      </c>
    </row>
    <row r="92" ht="15.0" customHeight="1">
      <c r="A92" s="27" t="s">
        <v>118</v>
      </c>
      <c r="B92" s="28">
        <v>90200.0</v>
      </c>
      <c r="C92" s="28">
        <v>5200.0</v>
      </c>
      <c r="D92" s="28"/>
      <c r="E92" s="28">
        <v>28000.0</v>
      </c>
      <c r="F92" s="28">
        <v>6250.0</v>
      </c>
      <c r="G92" s="28">
        <v>20904.0</v>
      </c>
      <c r="H92" s="28">
        <v>19925.0</v>
      </c>
      <c r="I92" s="28">
        <v>13975.0</v>
      </c>
      <c r="J92" s="28">
        <v>64500.0</v>
      </c>
      <c r="K92" s="28">
        <v>47080.0</v>
      </c>
      <c r="L92" s="28">
        <v>119100.0</v>
      </c>
      <c r="M92" s="28">
        <v>106100.0</v>
      </c>
      <c r="N92" s="29">
        <v>521234.0</v>
      </c>
      <c r="O92" s="30">
        <f t="shared" si="1"/>
        <v>0.2606038577</v>
      </c>
    </row>
    <row r="93" ht="15.0" customHeight="1">
      <c r="A93" s="27" t="s">
        <v>108</v>
      </c>
      <c r="B93" s="28">
        <v>12000.0</v>
      </c>
      <c r="C93" s="28">
        <v>10000.0</v>
      </c>
      <c r="D93" s="28">
        <v>1000.0</v>
      </c>
      <c r="E93" s="28"/>
      <c r="F93" s="28">
        <v>2000.0</v>
      </c>
      <c r="G93" s="28">
        <v>2000.0</v>
      </c>
      <c r="H93" s="28"/>
      <c r="I93" s="28">
        <v>32000.0</v>
      </c>
      <c r="J93" s="28">
        <v>2000.0</v>
      </c>
      <c r="K93" s="28">
        <v>16000.0</v>
      </c>
      <c r="L93" s="28"/>
      <c r="M93" s="28">
        <v>11100.0</v>
      </c>
      <c r="N93" s="29">
        <v>88100.0</v>
      </c>
      <c r="O93" s="30">
        <f t="shared" si="1"/>
        <v>0.04404777867</v>
      </c>
    </row>
    <row r="94" ht="15.0" customHeight="1">
      <c r="A94" s="27" t="s">
        <v>109</v>
      </c>
      <c r="B94" s="28">
        <v>2500.0</v>
      </c>
      <c r="C94" s="28">
        <v>2000.0</v>
      </c>
      <c r="D94" s="28">
        <v>13000.0</v>
      </c>
      <c r="E94" s="28">
        <v>17000.0</v>
      </c>
      <c r="F94" s="28">
        <v>3000.0</v>
      </c>
      <c r="G94" s="28">
        <v>2000.0</v>
      </c>
      <c r="H94" s="28"/>
      <c r="I94" s="28">
        <v>6000.0</v>
      </c>
      <c r="J94" s="28">
        <v>1000.0</v>
      </c>
      <c r="K94" s="28"/>
      <c r="L94" s="28"/>
      <c r="M94" s="28">
        <v>18000.0</v>
      </c>
      <c r="N94" s="29">
        <v>64500.0</v>
      </c>
      <c r="O94" s="30">
        <f t="shared" si="1"/>
        <v>0.03224837371</v>
      </c>
    </row>
    <row r="95" ht="15.0" customHeight="1">
      <c r="A95" s="27" t="s">
        <v>110</v>
      </c>
      <c r="B95" s="28">
        <v>4090.0</v>
      </c>
      <c r="C95" s="28">
        <v>4440.0</v>
      </c>
      <c r="D95" s="28">
        <v>5045.0</v>
      </c>
      <c r="E95" s="28">
        <v>5085.0</v>
      </c>
      <c r="F95" s="28">
        <v>3985.0</v>
      </c>
      <c r="G95" s="28">
        <v>5120.0</v>
      </c>
      <c r="H95" s="28">
        <v>4330.0</v>
      </c>
      <c r="I95" s="28">
        <v>5430.0</v>
      </c>
      <c r="J95" s="28">
        <v>4365.0</v>
      </c>
      <c r="K95" s="28">
        <v>3600.0</v>
      </c>
      <c r="L95" s="28">
        <v>3900.0</v>
      </c>
      <c r="M95" s="28">
        <v>3620.0</v>
      </c>
      <c r="N95" s="29">
        <v>53010.0</v>
      </c>
      <c r="O95" s="30">
        <f t="shared" si="1"/>
        <v>0.02650366342</v>
      </c>
    </row>
    <row r="96" ht="15.0" customHeight="1">
      <c r="A96" s="31"/>
      <c r="B96" s="32">
        <v>1.5875841E7</v>
      </c>
      <c r="C96" s="32">
        <v>1.5977897E7</v>
      </c>
      <c r="D96" s="32">
        <v>1.4372417E7</v>
      </c>
      <c r="E96" s="32">
        <v>1.6132348E7</v>
      </c>
      <c r="F96" s="32">
        <v>1.5313376E7</v>
      </c>
      <c r="G96" s="32">
        <v>1.5024563E7</v>
      </c>
      <c r="H96" s="32">
        <v>1.469074E7</v>
      </c>
      <c r="I96" s="32">
        <v>1.8672126E7</v>
      </c>
      <c r="J96" s="32">
        <v>2.1939255E7</v>
      </c>
      <c r="K96" s="32">
        <v>1.7577374E7</v>
      </c>
      <c r="L96" s="32">
        <v>1.7347832E7</v>
      </c>
      <c r="M96" s="32">
        <v>1.7086317E7</v>
      </c>
      <c r="N96" s="29">
        <v>2.00010086E8</v>
      </c>
      <c r="O96" s="30"/>
    </row>
    <row r="97" ht="15.75" customHeight="1">
      <c r="A97" s="33"/>
      <c r="B97" s="34">
        <f t="shared" ref="B97:M97" si="2">B96/$N$96*100</f>
        <v>7.937520211</v>
      </c>
      <c r="C97" s="34">
        <f t="shared" si="2"/>
        <v>7.988545638</v>
      </c>
      <c r="D97" s="34">
        <f t="shared" si="2"/>
        <v>7.185846118</v>
      </c>
      <c r="E97" s="34">
        <f t="shared" si="2"/>
        <v>8.065767243</v>
      </c>
      <c r="F97" s="34">
        <f t="shared" si="2"/>
        <v>7.656301893</v>
      </c>
      <c r="G97" s="34">
        <f t="shared" si="2"/>
        <v>7.511902675</v>
      </c>
      <c r="H97" s="34">
        <f t="shared" si="2"/>
        <v>7.344999592</v>
      </c>
      <c r="I97" s="34">
        <f t="shared" si="2"/>
        <v>9.335592206</v>
      </c>
      <c r="J97" s="34">
        <f t="shared" si="2"/>
        <v>10.96907433</v>
      </c>
      <c r="K97" s="34">
        <f t="shared" si="2"/>
        <v>8.788243809</v>
      </c>
      <c r="L97" s="34">
        <f t="shared" si="2"/>
        <v>8.673478596</v>
      </c>
      <c r="M97" s="34">
        <f t="shared" si="2"/>
        <v>8.54272769</v>
      </c>
      <c r="N97" s="35"/>
      <c r="O97" s="36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0.75"/>
    <col customWidth="1" min="3" max="3" width="12.25"/>
    <col customWidth="1" min="4" max="5" width="14.0"/>
    <col customWidth="1" min="6" max="6" width="8.0"/>
    <col customWidth="1" min="7" max="9" width="12.25"/>
    <col customWidth="1" min="10" max="10" width="14.0"/>
    <col customWidth="1" min="11" max="11" width="12.25"/>
    <col customWidth="1" min="12" max="12" width="14.0"/>
    <col customWidth="1" min="13" max="13" width="10.75"/>
    <col customWidth="1" min="14" max="14" width="12.25"/>
    <col customWidth="1" min="15" max="15" width="10.75"/>
    <col customWidth="1" min="16" max="16" width="12.25"/>
    <col customWidth="1" min="17" max="17" width="10.75"/>
    <col customWidth="1" min="18" max="18" width="14.0"/>
    <col customWidth="1" min="19" max="19" width="10.75"/>
    <col customWidth="1" min="20" max="20" width="12.25"/>
    <col customWidth="1" min="21" max="21" width="14.0"/>
    <col customWidth="1" min="22" max="23" width="12.25"/>
    <col customWidth="1" min="24" max="25" width="15.63"/>
  </cols>
  <sheetData>
    <row r="1" ht="18.0" customHeight="1">
      <c r="A1" s="37" t="s">
        <v>119</v>
      </c>
      <c r="B1" s="38" t="s">
        <v>120</v>
      </c>
      <c r="C1" s="38" t="s">
        <v>121</v>
      </c>
      <c r="D1" s="38" t="s">
        <v>122</v>
      </c>
      <c r="E1" s="38" t="s">
        <v>123</v>
      </c>
      <c r="F1" s="38" t="s">
        <v>124</v>
      </c>
      <c r="G1" s="38" t="s">
        <v>125</v>
      </c>
      <c r="H1" s="38" t="s">
        <v>126</v>
      </c>
      <c r="I1" s="38" t="s">
        <v>127</v>
      </c>
      <c r="J1" s="38" t="s">
        <v>128</v>
      </c>
      <c r="K1" s="38" t="s">
        <v>129</v>
      </c>
      <c r="L1" s="38" t="s">
        <v>130</v>
      </c>
      <c r="M1" s="38" t="s">
        <v>131</v>
      </c>
      <c r="N1" s="38" t="s">
        <v>132</v>
      </c>
      <c r="O1" s="38" t="s">
        <v>133</v>
      </c>
      <c r="P1" s="38" t="s">
        <v>134</v>
      </c>
      <c r="Q1" s="38" t="s">
        <v>135</v>
      </c>
      <c r="R1" s="38" t="s">
        <v>136</v>
      </c>
      <c r="S1" s="38" t="s">
        <v>137</v>
      </c>
      <c r="T1" s="38" t="s">
        <v>138</v>
      </c>
      <c r="U1" s="38" t="s">
        <v>139</v>
      </c>
      <c r="V1" s="38" t="s">
        <v>140</v>
      </c>
      <c r="W1" s="38" t="s">
        <v>118</v>
      </c>
      <c r="X1" s="39" t="s">
        <v>113</v>
      </c>
      <c r="Y1" s="40"/>
    </row>
    <row r="2" ht="15.0" customHeight="1">
      <c r="A2" s="27" t="s">
        <v>18</v>
      </c>
      <c r="B2" s="28">
        <v>30000.0</v>
      </c>
      <c r="C2" s="28">
        <v>165600.0</v>
      </c>
      <c r="D2" s="28">
        <v>306000.0</v>
      </c>
      <c r="E2" s="28">
        <v>70000.0</v>
      </c>
      <c r="F2" s="28">
        <v>2000.0</v>
      </c>
      <c r="G2" s="28"/>
      <c r="H2" s="28">
        <v>39000.0</v>
      </c>
      <c r="I2" s="28">
        <v>226000.0</v>
      </c>
      <c r="J2" s="28"/>
      <c r="K2" s="28">
        <v>367000.0</v>
      </c>
      <c r="L2" s="28">
        <v>11000.0</v>
      </c>
      <c r="M2" s="28">
        <v>5000.0</v>
      </c>
      <c r="N2" s="28"/>
      <c r="O2" s="28">
        <v>5000.0</v>
      </c>
      <c r="P2" s="28">
        <v>92000.0</v>
      </c>
      <c r="Q2" s="28">
        <v>6000.0</v>
      </c>
      <c r="R2" s="28"/>
      <c r="S2" s="28"/>
      <c r="T2" s="28"/>
      <c r="U2" s="28">
        <v>2453400.0</v>
      </c>
      <c r="V2" s="28"/>
      <c r="W2" s="28">
        <v>251000.0</v>
      </c>
      <c r="X2" s="29">
        <v>4029000.0</v>
      </c>
      <c r="Y2" s="41"/>
    </row>
    <row r="3" ht="15.0" customHeight="1">
      <c r="A3" s="27" t="s">
        <v>20</v>
      </c>
      <c r="B3" s="28">
        <v>61000.0</v>
      </c>
      <c r="C3" s="28">
        <v>29000.0</v>
      </c>
      <c r="D3" s="28">
        <v>59000.0</v>
      </c>
      <c r="E3" s="28">
        <v>5522000.0</v>
      </c>
      <c r="F3" s="28">
        <v>5000.0</v>
      </c>
      <c r="G3" s="28">
        <v>11000.0</v>
      </c>
      <c r="H3" s="28">
        <v>14000.0</v>
      </c>
      <c r="I3" s="28">
        <v>257000.0</v>
      </c>
      <c r="J3" s="28">
        <v>7155000.0</v>
      </c>
      <c r="K3" s="28">
        <v>20000.0</v>
      </c>
      <c r="L3" s="28">
        <v>271300.0</v>
      </c>
      <c r="M3" s="28">
        <v>13000.0</v>
      </c>
      <c r="N3" s="28">
        <v>103000.0</v>
      </c>
      <c r="O3" s="28"/>
      <c r="P3" s="28">
        <v>12000.0</v>
      </c>
      <c r="Q3" s="28">
        <v>271000.0</v>
      </c>
      <c r="R3" s="28">
        <v>5976400.0</v>
      </c>
      <c r="S3" s="28">
        <v>4000.0</v>
      </c>
      <c r="T3" s="28">
        <v>3000.0</v>
      </c>
      <c r="U3" s="28">
        <v>86000.0</v>
      </c>
      <c r="V3" s="28"/>
      <c r="W3" s="28">
        <v>273000.0</v>
      </c>
      <c r="X3" s="29">
        <v>2.01457E7</v>
      </c>
      <c r="Y3" s="41"/>
    </row>
    <row r="4" ht="15.0" customHeight="1">
      <c r="A4" s="27" t="s">
        <v>21</v>
      </c>
      <c r="B4" s="28">
        <v>39000.0</v>
      </c>
      <c r="C4" s="28">
        <v>110000.0</v>
      </c>
      <c r="D4" s="28">
        <v>133000.0</v>
      </c>
      <c r="E4" s="28">
        <v>330000.0</v>
      </c>
      <c r="F4" s="28">
        <v>15000.0</v>
      </c>
      <c r="G4" s="28"/>
      <c r="H4" s="28">
        <v>784000.0</v>
      </c>
      <c r="I4" s="28">
        <v>2014000.0</v>
      </c>
      <c r="J4" s="28">
        <v>1.08516E7</v>
      </c>
      <c r="K4" s="28">
        <v>16000.0</v>
      </c>
      <c r="L4" s="28">
        <v>1295000.0</v>
      </c>
      <c r="M4" s="28">
        <v>13000.0</v>
      </c>
      <c r="N4" s="28">
        <v>1462000.0</v>
      </c>
      <c r="O4" s="28"/>
      <c r="P4" s="28">
        <v>488000.0</v>
      </c>
      <c r="Q4" s="28">
        <v>9000.0</v>
      </c>
      <c r="R4" s="28">
        <v>57000.0</v>
      </c>
      <c r="S4" s="28">
        <v>4000.0</v>
      </c>
      <c r="T4" s="28">
        <v>4000.0</v>
      </c>
      <c r="U4" s="28">
        <v>9638700.0</v>
      </c>
      <c r="V4" s="28">
        <v>41000.0</v>
      </c>
      <c r="W4" s="28">
        <v>2479500.0</v>
      </c>
      <c r="X4" s="29">
        <v>2.97838E7</v>
      </c>
      <c r="Y4" s="41"/>
    </row>
    <row r="5" ht="15.0" customHeight="1">
      <c r="A5" s="27" t="s">
        <v>22</v>
      </c>
      <c r="B5" s="28">
        <v>48000.0</v>
      </c>
      <c r="C5" s="28">
        <v>5000.0</v>
      </c>
      <c r="D5" s="28">
        <v>51000.0</v>
      </c>
      <c r="E5" s="28">
        <v>2000.0</v>
      </c>
      <c r="F5" s="28"/>
      <c r="G5" s="28"/>
      <c r="H5" s="28">
        <v>231000.0</v>
      </c>
      <c r="I5" s="28">
        <v>1808000.0</v>
      </c>
      <c r="J5" s="28">
        <v>110000.0</v>
      </c>
      <c r="K5" s="28">
        <v>5000.0</v>
      </c>
      <c r="L5" s="28">
        <v>176000.0</v>
      </c>
      <c r="M5" s="28"/>
      <c r="N5" s="28">
        <v>140000.0</v>
      </c>
      <c r="O5" s="28"/>
      <c r="P5" s="28">
        <v>239000.0</v>
      </c>
      <c r="Q5" s="28"/>
      <c r="R5" s="28"/>
      <c r="S5" s="28">
        <v>23000.0</v>
      </c>
      <c r="T5" s="28"/>
      <c r="U5" s="28">
        <v>5051000.0</v>
      </c>
      <c r="V5" s="28"/>
      <c r="W5" s="28">
        <v>520000.0</v>
      </c>
      <c r="X5" s="29">
        <v>8409000.0</v>
      </c>
      <c r="Y5" s="41"/>
    </row>
    <row r="6" ht="15.0" customHeight="1">
      <c r="A6" s="27" t="s">
        <v>23</v>
      </c>
      <c r="B6" s="28"/>
      <c r="C6" s="28">
        <v>1050.0</v>
      </c>
      <c r="D6" s="28">
        <v>2000.0</v>
      </c>
      <c r="E6" s="28">
        <v>3000.0</v>
      </c>
      <c r="F6" s="28"/>
      <c r="G6" s="28"/>
      <c r="H6" s="28"/>
      <c r="I6" s="28">
        <v>100.0</v>
      </c>
      <c r="J6" s="28">
        <v>36000.0</v>
      </c>
      <c r="K6" s="28">
        <v>18000.0</v>
      </c>
      <c r="L6" s="28"/>
      <c r="M6" s="28"/>
      <c r="N6" s="28"/>
      <c r="O6" s="28"/>
      <c r="P6" s="28">
        <v>16000.0</v>
      </c>
      <c r="Q6" s="28"/>
      <c r="R6" s="28"/>
      <c r="S6" s="28"/>
      <c r="T6" s="28"/>
      <c r="U6" s="28">
        <v>1.5733E7</v>
      </c>
      <c r="V6" s="28">
        <v>1626000.0</v>
      </c>
      <c r="W6" s="28"/>
      <c r="X6" s="29">
        <v>1.743515E7</v>
      </c>
      <c r="Y6" s="41"/>
    </row>
    <row r="7" ht="15.0" customHeight="1">
      <c r="A7" s="27" t="s">
        <v>24</v>
      </c>
      <c r="B7" s="28"/>
      <c r="C7" s="28">
        <v>833450.0</v>
      </c>
      <c r="D7" s="28">
        <v>396000.0</v>
      </c>
      <c r="E7" s="28">
        <v>14000.0</v>
      </c>
      <c r="F7" s="28"/>
      <c r="G7" s="28"/>
      <c r="H7" s="28"/>
      <c r="I7" s="28">
        <v>15680.0</v>
      </c>
      <c r="J7" s="28">
        <v>2000.0</v>
      </c>
      <c r="K7" s="28">
        <v>5325.0</v>
      </c>
      <c r="L7" s="28">
        <v>49000.0</v>
      </c>
      <c r="M7" s="28"/>
      <c r="N7" s="28"/>
      <c r="O7" s="28"/>
      <c r="P7" s="28"/>
      <c r="Q7" s="28"/>
      <c r="R7" s="28"/>
      <c r="S7" s="28">
        <v>1000.0</v>
      </c>
      <c r="T7" s="28">
        <v>1000.0</v>
      </c>
      <c r="U7" s="28"/>
      <c r="V7" s="28"/>
      <c r="W7" s="28">
        <v>4000.0</v>
      </c>
      <c r="X7" s="29">
        <v>1321455.0</v>
      </c>
      <c r="Y7" s="41"/>
    </row>
    <row r="8" ht="15.0" customHeight="1">
      <c r="A8" s="27" t="s">
        <v>25</v>
      </c>
      <c r="B8" s="28">
        <v>23000.0</v>
      </c>
      <c r="C8" s="28">
        <v>700575.0</v>
      </c>
      <c r="D8" s="28">
        <v>1930000.0</v>
      </c>
      <c r="E8" s="28">
        <v>2178900.0</v>
      </c>
      <c r="F8" s="28"/>
      <c r="G8" s="28"/>
      <c r="H8" s="28">
        <v>590000.0</v>
      </c>
      <c r="I8" s="28">
        <v>256020.0</v>
      </c>
      <c r="J8" s="28">
        <v>468000.0</v>
      </c>
      <c r="K8" s="28">
        <v>336550.0</v>
      </c>
      <c r="L8" s="28">
        <v>1917500.0</v>
      </c>
      <c r="M8" s="28">
        <v>45000.0</v>
      </c>
      <c r="N8" s="28">
        <v>77000.0</v>
      </c>
      <c r="O8" s="28"/>
      <c r="P8" s="28">
        <v>315000.0</v>
      </c>
      <c r="Q8" s="28">
        <v>27000.0</v>
      </c>
      <c r="R8" s="28">
        <v>81000.0</v>
      </c>
      <c r="S8" s="28">
        <v>25000.0</v>
      </c>
      <c r="T8" s="28">
        <v>20000.0</v>
      </c>
      <c r="U8" s="28">
        <v>126000.0</v>
      </c>
      <c r="V8" s="28"/>
      <c r="W8" s="28">
        <v>45000.0</v>
      </c>
      <c r="X8" s="29">
        <v>9161545.0</v>
      </c>
      <c r="Y8" s="41"/>
    </row>
    <row r="9" ht="15.0" customHeight="1">
      <c r="A9" s="27" t="s">
        <v>26</v>
      </c>
      <c r="B9" s="28">
        <v>2000.0</v>
      </c>
      <c r="C9" s="28">
        <v>655395.0</v>
      </c>
      <c r="D9" s="28">
        <v>106000.0</v>
      </c>
      <c r="E9" s="28">
        <v>7857100.0</v>
      </c>
      <c r="F9" s="28"/>
      <c r="G9" s="28"/>
      <c r="H9" s="28">
        <v>12000.0</v>
      </c>
      <c r="I9" s="28">
        <v>779275.0</v>
      </c>
      <c r="J9" s="28">
        <v>2384500.0</v>
      </c>
      <c r="K9" s="28">
        <v>334525.0</v>
      </c>
      <c r="L9" s="28">
        <v>7645500.0</v>
      </c>
      <c r="M9" s="28">
        <v>14000.0</v>
      </c>
      <c r="N9" s="28">
        <v>112000.0</v>
      </c>
      <c r="O9" s="28"/>
      <c r="P9" s="28">
        <v>25000.0</v>
      </c>
      <c r="Q9" s="28"/>
      <c r="R9" s="28">
        <v>16000.0</v>
      </c>
      <c r="S9" s="28">
        <v>2000.0</v>
      </c>
      <c r="T9" s="28"/>
      <c r="U9" s="28"/>
      <c r="V9" s="28"/>
      <c r="W9" s="28">
        <v>705000.0</v>
      </c>
      <c r="X9" s="29">
        <v>2.0650295E7</v>
      </c>
      <c r="Y9" s="41"/>
    </row>
    <row r="10" ht="15.0" customHeight="1">
      <c r="A10" s="27" t="s">
        <v>27</v>
      </c>
      <c r="B10" s="28">
        <v>152000.0</v>
      </c>
      <c r="C10" s="28"/>
      <c r="D10" s="28">
        <v>3302000.0</v>
      </c>
      <c r="E10" s="28"/>
      <c r="F10" s="28">
        <v>3000.0</v>
      </c>
      <c r="G10" s="28"/>
      <c r="H10" s="28">
        <v>620000.0</v>
      </c>
      <c r="I10" s="28"/>
      <c r="J10" s="28"/>
      <c r="K10" s="28"/>
      <c r="L10" s="28"/>
      <c r="M10" s="28">
        <v>9000.0</v>
      </c>
      <c r="N10" s="28"/>
      <c r="O10" s="28"/>
      <c r="P10" s="28">
        <v>904000.0</v>
      </c>
      <c r="Q10" s="28">
        <v>178000.0</v>
      </c>
      <c r="R10" s="28">
        <v>292000.0</v>
      </c>
      <c r="S10" s="28">
        <v>12000.0</v>
      </c>
      <c r="T10" s="28"/>
      <c r="U10" s="28">
        <v>111000.0</v>
      </c>
      <c r="V10" s="28"/>
      <c r="W10" s="28">
        <v>31000.0</v>
      </c>
      <c r="X10" s="29">
        <v>5614000.0</v>
      </c>
      <c r="Y10" s="41"/>
    </row>
    <row r="11" ht="15.0" customHeight="1">
      <c r="A11" s="27" t="s">
        <v>28</v>
      </c>
      <c r="B11" s="28"/>
      <c r="C11" s="28">
        <v>6550.0</v>
      </c>
      <c r="D11" s="28"/>
      <c r="E11" s="28">
        <v>4000.0</v>
      </c>
      <c r="F11" s="28"/>
      <c r="G11" s="28"/>
      <c r="H11" s="28"/>
      <c r="I11" s="28">
        <v>50010.0</v>
      </c>
      <c r="J11" s="28"/>
      <c r="K11" s="28">
        <v>200.0</v>
      </c>
      <c r="L11" s="28">
        <v>17000.0</v>
      </c>
      <c r="M11" s="28"/>
      <c r="N11" s="28"/>
      <c r="O11" s="28"/>
      <c r="P11" s="28"/>
      <c r="Q11" s="28"/>
      <c r="R11" s="28"/>
      <c r="S11" s="28"/>
      <c r="T11" s="28"/>
      <c r="U11" s="28">
        <v>34000.0</v>
      </c>
      <c r="V11" s="28"/>
      <c r="W11" s="28"/>
      <c r="X11" s="29">
        <v>111760.0</v>
      </c>
      <c r="Y11" s="41"/>
    </row>
    <row r="12" ht="15.0" customHeight="1">
      <c r="A12" s="27" t="s">
        <v>29</v>
      </c>
      <c r="B12" s="28">
        <v>6800.0</v>
      </c>
      <c r="C12" s="28">
        <v>326590.0</v>
      </c>
      <c r="D12" s="28">
        <v>939300.0</v>
      </c>
      <c r="E12" s="28">
        <v>488700.0</v>
      </c>
      <c r="F12" s="28"/>
      <c r="G12" s="28"/>
      <c r="H12" s="28">
        <v>5000.0</v>
      </c>
      <c r="I12" s="28">
        <v>98750.0</v>
      </c>
      <c r="J12" s="28">
        <v>238760.0</v>
      </c>
      <c r="K12" s="28">
        <v>27550.0</v>
      </c>
      <c r="L12" s="28">
        <v>1588000.0</v>
      </c>
      <c r="M12" s="28"/>
      <c r="N12" s="28">
        <v>996000.0</v>
      </c>
      <c r="O12" s="28"/>
      <c r="P12" s="28">
        <v>29000.0</v>
      </c>
      <c r="Q12" s="28"/>
      <c r="R12" s="28">
        <v>5000.0</v>
      </c>
      <c r="S12" s="28"/>
      <c r="T12" s="28"/>
      <c r="U12" s="28">
        <v>20000.0</v>
      </c>
      <c r="V12" s="28"/>
      <c r="W12" s="28">
        <v>28000.0</v>
      </c>
      <c r="X12" s="29">
        <v>4797450.0</v>
      </c>
      <c r="Y12" s="41"/>
    </row>
    <row r="13" ht="15.0" customHeight="1">
      <c r="A13" s="27" t="s">
        <v>30</v>
      </c>
      <c r="B13" s="28">
        <v>18000.0</v>
      </c>
      <c r="C13" s="28">
        <v>11000.0</v>
      </c>
      <c r="D13" s="28">
        <v>438000.0</v>
      </c>
      <c r="E13" s="28">
        <v>367500.0</v>
      </c>
      <c r="F13" s="28"/>
      <c r="G13" s="28"/>
      <c r="H13" s="28">
        <v>25000.0</v>
      </c>
      <c r="I13" s="28">
        <v>62000.0</v>
      </c>
      <c r="J13" s="28">
        <v>88000.0</v>
      </c>
      <c r="K13" s="28">
        <v>29600.0</v>
      </c>
      <c r="L13" s="28">
        <v>254000.0</v>
      </c>
      <c r="M13" s="28">
        <v>2000.0</v>
      </c>
      <c r="N13" s="28">
        <v>13100.0</v>
      </c>
      <c r="O13" s="28"/>
      <c r="P13" s="28">
        <v>217000.0</v>
      </c>
      <c r="Q13" s="28">
        <v>14000.0</v>
      </c>
      <c r="R13" s="28">
        <v>467000.0</v>
      </c>
      <c r="S13" s="28">
        <v>2000.0</v>
      </c>
      <c r="T13" s="28"/>
      <c r="U13" s="28">
        <v>100000.0</v>
      </c>
      <c r="V13" s="28"/>
      <c r="W13" s="28">
        <v>24000.0</v>
      </c>
      <c r="X13" s="29">
        <v>2132200.0</v>
      </c>
      <c r="Y13" s="41"/>
    </row>
    <row r="14" ht="15.0" customHeight="1">
      <c r="A14" s="27" t="s">
        <v>31</v>
      </c>
      <c r="B14" s="28"/>
      <c r="C14" s="28"/>
      <c r="D14" s="28">
        <v>2000.0</v>
      </c>
      <c r="E14" s="28"/>
      <c r="F14" s="28"/>
      <c r="G14" s="28"/>
      <c r="H14" s="28"/>
      <c r="I14" s="28"/>
      <c r="J14" s="28"/>
      <c r="K14" s="28">
        <v>2000.0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>
        <v>4000.0</v>
      </c>
      <c r="Y14" s="41"/>
    </row>
    <row r="15" ht="15.0" customHeight="1">
      <c r="A15" s="27" t="s">
        <v>32</v>
      </c>
      <c r="B15" s="28">
        <v>39000.0</v>
      </c>
      <c r="C15" s="28">
        <v>65325.0</v>
      </c>
      <c r="D15" s="28">
        <v>455000.0</v>
      </c>
      <c r="E15" s="28">
        <v>402000.0</v>
      </c>
      <c r="F15" s="28">
        <v>2000.0</v>
      </c>
      <c r="G15" s="28"/>
      <c r="H15" s="28">
        <v>19000.0</v>
      </c>
      <c r="I15" s="28">
        <v>32815.0</v>
      </c>
      <c r="J15" s="28">
        <v>433100.0</v>
      </c>
      <c r="K15" s="28">
        <v>20100.0</v>
      </c>
      <c r="L15" s="28">
        <v>91000.0</v>
      </c>
      <c r="M15" s="28">
        <v>1000.0</v>
      </c>
      <c r="N15" s="28">
        <v>16000.0</v>
      </c>
      <c r="O15" s="28">
        <v>2000.0</v>
      </c>
      <c r="P15" s="28">
        <v>1113000.0</v>
      </c>
      <c r="Q15" s="28">
        <v>52200.0</v>
      </c>
      <c r="R15" s="28">
        <v>409000.0</v>
      </c>
      <c r="S15" s="28">
        <v>9000.0</v>
      </c>
      <c r="T15" s="28"/>
      <c r="U15" s="28">
        <v>97000.0</v>
      </c>
      <c r="V15" s="28"/>
      <c r="W15" s="28">
        <v>20000.0</v>
      </c>
      <c r="X15" s="29">
        <v>3278540.0</v>
      </c>
      <c r="Y15" s="41"/>
    </row>
    <row r="16" ht="15.0" customHeight="1">
      <c r="A16" s="27" t="s">
        <v>33</v>
      </c>
      <c r="B16" s="28">
        <v>87000.0</v>
      </c>
      <c r="C16" s="28">
        <v>13100.0</v>
      </c>
      <c r="D16" s="28">
        <v>514000.0</v>
      </c>
      <c r="E16" s="28">
        <v>92000.0</v>
      </c>
      <c r="F16" s="28"/>
      <c r="G16" s="28"/>
      <c r="H16" s="28">
        <v>13000.0</v>
      </c>
      <c r="I16" s="28">
        <v>15300.0</v>
      </c>
      <c r="J16" s="28">
        <v>111000.0</v>
      </c>
      <c r="K16" s="28">
        <v>222100.0</v>
      </c>
      <c r="L16" s="28">
        <v>128500.0</v>
      </c>
      <c r="M16" s="28">
        <v>8000.0</v>
      </c>
      <c r="N16" s="28">
        <v>129000.0</v>
      </c>
      <c r="O16" s="28"/>
      <c r="P16" s="28">
        <v>109000.0</v>
      </c>
      <c r="Q16" s="28">
        <v>3000.0</v>
      </c>
      <c r="R16" s="28">
        <v>46000.0</v>
      </c>
      <c r="S16" s="28">
        <v>3000.0</v>
      </c>
      <c r="T16" s="28"/>
      <c r="U16" s="28">
        <v>275100.0</v>
      </c>
      <c r="V16" s="28"/>
      <c r="W16" s="28">
        <v>6000.0</v>
      </c>
      <c r="X16" s="29">
        <v>1775100.0</v>
      </c>
      <c r="Y16" s="41"/>
    </row>
    <row r="17" ht="15.0" customHeight="1">
      <c r="A17" s="27" t="s">
        <v>34</v>
      </c>
      <c r="B17" s="28">
        <v>22000.0</v>
      </c>
      <c r="C17" s="28">
        <v>1500.0</v>
      </c>
      <c r="D17" s="28">
        <v>362000.0</v>
      </c>
      <c r="E17" s="28">
        <v>1747000.0</v>
      </c>
      <c r="F17" s="28"/>
      <c r="G17" s="28"/>
      <c r="H17" s="28">
        <v>247000.0</v>
      </c>
      <c r="I17" s="28">
        <v>13000.0</v>
      </c>
      <c r="J17" s="28">
        <v>161300.0</v>
      </c>
      <c r="K17" s="28">
        <v>9000.0</v>
      </c>
      <c r="L17" s="28">
        <v>135700.0</v>
      </c>
      <c r="M17" s="28">
        <v>22000.0</v>
      </c>
      <c r="N17" s="28">
        <v>79100.0</v>
      </c>
      <c r="O17" s="28"/>
      <c r="P17" s="28">
        <v>136000.0</v>
      </c>
      <c r="Q17" s="28">
        <v>20000.0</v>
      </c>
      <c r="R17" s="28">
        <v>272000.0</v>
      </c>
      <c r="S17" s="28"/>
      <c r="T17" s="28">
        <v>2000.0</v>
      </c>
      <c r="U17" s="28">
        <v>98000.0</v>
      </c>
      <c r="V17" s="28"/>
      <c r="W17" s="28">
        <v>10000.0</v>
      </c>
      <c r="X17" s="29">
        <v>3337600.0</v>
      </c>
      <c r="Y17" s="41"/>
    </row>
    <row r="18" ht="15.0" customHeight="1">
      <c r="A18" s="27" t="s">
        <v>35</v>
      </c>
      <c r="B18" s="28">
        <v>6000.0</v>
      </c>
      <c r="C18" s="28"/>
      <c r="D18" s="28">
        <v>7000.0</v>
      </c>
      <c r="E18" s="28"/>
      <c r="F18" s="28"/>
      <c r="G18" s="28"/>
      <c r="H18" s="28">
        <v>86000.0</v>
      </c>
      <c r="I18" s="28"/>
      <c r="J18" s="28"/>
      <c r="K18" s="28"/>
      <c r="L18" s="28"/>
      <c r="M18" s="28"/>
      <c r="N18" s="28"/>
      <c r="O18" s="28"/>
      <c r="P18" s="28">
        <v>56000.0</v>
      </c>
      <c r="Q18" s="28">
        <v>17000.0</v>
      </c>
      <c r="R18" s="28">
        <v>133000.0</v>
      </c>
      <c r="S18" s="28">
        <v>2000.0</v>
      </c>
      <c r="T18" s="28"/>
      <c r="U18" s="28">
        <v>81000.0</v>
      </c>
      <c r="V18" s="28"/>
      <c r="W18" s="28">
        <v>1000.0</v>
      </c>
      <c r="X18" s="29">
        <v>389000.0</v>
      </c>
      <c r="Y18" s="41"/>
    </row>
    <row r="19" ht="15.0" customHeight="1">
      <c r="A19" s="27" t="s">
        <v>36</v>
      </c>
      <c r="B19" s="28"/>
      <c r="C19" s="28">
        <v>8000.0</v>
      </c>
      <c r="D19" s="28"/>
      <c r="E19" s="28"/>
      <c r="F19" s="28"/>
      <c r="G19" s="28"/>
      <c r="H19" s="28"/>
      <c r="I19" s="28">
        <v>4000.0</v>
      </c>
      <c r="J19" s="28">
        <v>25000.0</v>
      </c>
      <c r="K19" s="28">
        <v>3000.0</v>
      </c>
      <c r="L19" s="28">
        <v>1000.0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>
        <v>41000.0</v>
      </c>
      <c r="Y19" s="41"/>
    </row>
    <row r="20" ht="15.0" customHeight="1">
      <c r="A20" s="27" t="s">
        <v>37</v>
      </c>
      <c r="B20" s="28">
        <v>10000.0</v>
      </c>
      <c r="C20" s="28"/>
      <c r="D20" s="28">
        <v>192500.0</v>
      </c>
      <c r="E20" s="28">
        <v>1960000.0</v>
      </c>
      <c r="F20" s="28"/>
      <c r="G20" s="28"/>
      <c r="H20" s="28">
        <v>105000.0</v>
      </c>
      <c r="I20" s="28">
        <v>18000.0</v>
      </c>
      <c r="J20" s="28">
        <v>238035.0</v>
      </c>
      <c r="K20" s="28">
        <v>49000.0</v>
      </c>
      <c r="L20" s="28">
        <v>98000.0</v>
      </c>
      <c r="M20" s="28">
        <v>40000.0</v>
      </c>
      <c r="N20" s="28">
        <v>7000.0</v>
      </c>
      <c r="O20" s="28">
        <v>1000.0</v>
      </c>
      <c r="P20" s="28">
        <v>129500.0</v>
      </c>
      <c r="Q20" s="28">
        <v>9000.0</v>
      </c>
      <c r="R20" s="28">
        <v>174000.0</v>
      </c>
      <c r="S20" s="28">
        <v>2000.0</v>
      </c>
      <c r="T20" s="28"/>
      <c r="U20" s="28">
        <v>624000.0</v>
      </c>
      <c r="V20" s="28"/>
      <c r="W20" s="28">
        <v>21000.0</v>
      </c>
      <c r="X20" s="29">
        <v>3678035.0</v>
      </c>
      <c r="Y20" s="41"/>
    </row>
    <row r="21" ht="15.0" customHeight="1">
      <c r="A21" s="27" t="s">
        <v>38</v>
      </c>
      <c r="B21" s="28">
        <v>2000.0</v>
      </c>
      <c r="C21" s="28">
        <v>7000.0</v>
      </c>
      <c r="D21" s="28">
        <v>127000.0</v>
      </c>
      <c r="E21" s="28">
        <v>1323000.0</v>
      </c>
      <c r="F21" s="28"/>
      <c r="G21" s="28"/>
      <c r="H21" s="28">
        <v>36000.0</v>
      </c>
      <c r="I21" s="28">
        <v>22000.0</v>
      </c>
      <c r="J21" s="28">
        <v>244000.0</v>
      </c>
      <c r="K21" s="28">
        <v>13000.0</v>
      </c>
      <c r="L21" s="28">
        <v>108000.0</v>
      </c>
      <c r="M21" s="28"/>
      <c r="N21" s="28">
        <v>4000.0</v>
      </c>
      <c r="O21" s="28">
        <v>2000.0</v>
      </c>
      <c r="P21" s="28">
        <v>81000.0</v>
      </c>
      <c r="Q21" s="28"/>
      <c r="R21" s="28">
        <v>33000.0</v>
      </c>
      <c r="S21" s="28"/>
      <c r="T21" s="28"/>
      <c r="U21" s="28">
        <v>124000.0</v>
      </c>
      <c r="V21" s="28"/>
      <c r="W21" s="28">
        <v>252000.0</v>
      </c>
      <c r="X21" s="29">
        <v>2378000.0</v>
      </c>
      <c r="Y21" s="41"/>
    </row>
    <row r="22" ht="15.0" customHeight="1">
      <c r="A22" s="27" t="s">
        <v>39</v>
      </c>
      <c r="B22" s="28"/>
      <c r="C22" s="28"/>
      <c r="D22" s="28">
        <v>59000.0</v>
      </c>
      <c r="E22" s="28">
        <v>8000.0</v>
      </c>
      <c r="F22" s="28"/>
      <c r="G22" s="28"/>
      <c r="H22" s="28">
        <v>307000.0</v>
      </c>
      <c r="I22" s="28"/>
      <c r="J22" s="28"/>
      <c r="K22" s="28"/>
      <c r="L22" s="28">
        <v>14000.0</v>
      </c>
      <c r="M22" s="28">
        <v>201000.0</v>
      </c>
      <c r="N22" s="28">
        <v>3000.0</v>
      </c>
      <c r="O22" s="28"/>
      <c r="P22" s="28">
        <v>244500.0</v>
      </c>
      <c r="Q22" s="28">
        <v>32000.0</v>
      </c>
      <c r="R22" s="28">
        <v>705000.0</v>
      </c>
      <c r="S22" s="28">
        <v>431000.0</v>
      </c>
      <c r="T22" s="28"/>
      <c r="U22" s="28">
        <v>1813650.0</v>
      </c>
      <c r="V22" s="28"/>
      <c r="W22" s="28">
        <v>36900.0</v>
      </c>
      <c r="X22" s="29">
        <v>3855050.0</v>
      </c>
      <c r="Y22" s="41"/>
    </row>
    <row r="23" ht="15.0" customHeight="1">
      <c r="A23" s="27" t="s">
        <v>40</v>
      </c>
      <c r="B23" s="28"/>
      <c r="C23" s="28"/>
      <c r="D23" s="28">
        <v>6000.0</v>
      </c>
      <c r="E23" s="28">
        <v>72000.0</v>
      </c>
      <c r="F23" s="28"/>
      <c r="G23" s="28"/>
      <c r="H23" s="28"/>
      <c r="I23" s="28"/>
      <c r="J23" s="28">
        <v>5000.0</v>
      </c>
      <c r="K23" s="28"/>
      <c r="L23" s="28">
        <v>9000.0</v>
      </c>
      <c r="M23" s="28"/>
      <c r="N23" s="28">
        <v>2000.0</v>
      </c>
      <c r="O23" s="28"/>
      <c r="P23" s="28">
        <v>1000.0</v>
      </c>
      <c r="Q23" s="28">
        <v>1000.0</v>
      </c>
      <c r="R23" s="28">
        <v>1000.0</v>
      </c>
      <c r="S23" s="28"/>
      <c r="T23" s="28"/>
      <c r="U23" s="28"/>
      <c r="V23" s="28"/>
      <c r="W23" s="28">
        <v>1000.0</v>
      </c>
      <c r="X23" s="29">
        <v>98000.0</v>
      </c>
      <c r="Y23" s="41"/>
    </row>
    <row r="24" ht="15.0" customHeight="1">
      <c r="A24" s="27" t="s">
        <v>41</v>
      </c>
      <c r="B24" s="28">
        <v>12000.0</v>
      </c>
      <c r="C24" s="28">
        <v>1000.0</v>
      </c>
      <c r="D24" s="28">
        <v>162000.0</v>
      </c>
      <c r="E24" s="28">
        <v>504600.0</v>
      </c>
      <c r="F24" s="28"/>
      <c r="G24" s="28"/>
      <c r="H24" s="28">
        <v>4000.0</v>
      </c>
      <c r="I24" s="28">
        <v>7000.0</v>
      </c>
      <c r="J24" s="28">
        <v>33060.0</v>
      </c>
      <c r="K24" s="28">
        <v>5000.0</v>
      </c>
      <c r="L24" s="28">
        <v>59000.0</v>
      </c>
      <c r="M24" s="28"/>
      <c r="N24" s="28">
        <v>6000.0</v>
      </c>
      <c r="O24" s="28"/>
      <c r="P24" s="28">
        <v>297000.0</v>
      </c>
      <c r="Q24" s="28">
        <v>22000.0</v>
      </c>
      <c r="R24" s="28">
        <v>136000.0</v>
      </c>
      <c r="S24" s="28"/>
      <c r="T24" s="28"/>
      <c r="U24" s="28">
        <v>29000.0</v>
      </c>
      <c r="V24" s="28"/>
      <c r="W24" s="28">
        <v>4000.0</v>
      </c>
      <c r="X24" s="29">
        <v>1281660.0</v>
      </c>
      <c r="Y24" s="41"/>
    </row>
    <row r="25" ht="15.0" customHeight="1">
      <c r="A25" s="27" t="s">
        <v>42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>
        <v>8000.0</v>
      </c>
      <c r="S25" s="28"/>
      <c r="T25" s="28"/>
      <c r="U25" s="28">
        <v>2000.0</v>
      </c>
      <c r="V25" s="28"/>
      <c r="W25" s="28"/>
      <c r="X25" s="29">
        <v>10000.0</v>
      </c>
      <c r="Y25" s="41"/>
    </row>
    <row r="26" ht="15.0" customHeight="1">
      <c r="A26" s="27" t="s">
        <v>43</v>
      </c>
      <c r="B26" s="28">
        <v>8000.0</v>
      </c>
      <c r="C26" s="28"/>
      <c r="D26" s="28">
        <v>129000.0</v>
      </c>
      <c r="E26" s="28">
        <v>3000.0</v>
      </c>
      <c r="F26" s="28"/>
      <c r="G26" s="28"/>
      <c r="H26" s="28">
        <v>118000.0</v>
      </c>
      <c r="I26" s="28"/>
      <c r="J26" s="28">
        <v>12000.0</v>
      </c>
      <c r="K26" s="28">
        <v>3000.0</v>
      </c>
      <c r="L26" s="28">
        <v>40000.0</v>
      </c>
      <c r="M26" s="28">
        <v>13000.0</v>
      </c>
      <c r="N26" s="28"/>
      <c r="O26" s="28"/>
      <c r="P26" s="28">
        <v>81000.0</v>
      </c>
      <c r="Q26" s="28"/>
      <c r="R26" s="28">
        <v>10000.0</v>
      </c>
      <c r="S26" s="28">
        <v>4000.0</v>
      </c>
      <c r="T26" s="28"/>
      <c r="U26" s="28">
        <v>85000.0</v>
      </c>
      <c r="V26" s="28"/>
      <c r="W26" s="28">
        <v>130000.0</v>
      </c>
      <c r="X26" s="29">
        <v>636000.0</v>
      </c>
      <c r="Y26" s="41"/>
    </row>
    <row r="27" ht="15.0" customHeight="1">
      <c r="A27" s="27" t="s">
        <v>44</v>
      </c>
      <c r="B27" s="28">
        <v>9000.0</v>
      </c>
      <c r="C27" s="28">
        <v>286400.0</v>
      </c>
      <c r="D27" s="28">
        <v>681000.0</v>
      </c>
      <c r="E27" s="28">
        <v>508000.0</v>
      </c>
      <c r="F27" s="28">
        <v>14000.0</v>
      </c>
      <c r="G27" s="28"/>
      <c r="H27" s="28">
        <v>43000.0</v>
      </c>
      <c r="I27" s="28">
        <v>105525.0</v>
      </c>
      <c r="J27" s="28">
        <v>349500.0</v>
      </c>
      <c r="K27" s="28">
        <v>72600.0</v>
      </c>
      <c r="L27" s="28">
        <v>274000.0</v>
      </c>
      <c r="M27" s="28"/>
      <c r="N27" s="28">
        <v>50000.0</v>
      </c>
      <c r="O27" s="28"/>
      <c r="P27" s="28">
        <v>69000.0</v>
      </c>
      <c r="Q27" s="28"/>
      <c r="R27" s="28">
        <v>19000.0</v>
      </c>
      <c r="S27" s="28">
        <v>12000.0</v>
      </c>
      <c r="T27" s="28"/>
      <c r="U27" s="28">
        <v>60000.0</v>
      </c>
      <c r="V27" s="28"/>
      <c r="W27" s="28">
        <v>65000.0</v>
      </c>
      <c r="X27" s="29">
        <v>2618025.0</v>
      </c>
      <c r="Y27" s="41"/>
    </row>
    <row r="28" ht="15.0" customHeight="1">
      <c r="A28" s="27" t="s">
        <v>45</v>
      </c>
      <c r="B28" s="28"/>
      <c r="C28" s="28">
        <v>46295.0</v>
      </c>
      <c r="D28" s="28"/>
      <c r="E28" s="28"/>
      <c r="F28" s="28"/>
      <c r="G28" s="28"/>
      <c r="H28" s="28"/>
      <c r="I28" s="28">
        <v>11660.0</v>
      </c>
      <c r="J28" s="28"/>
      <c r="K28" s="28">
        <v>50.0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>
        <v>58005.0</v>
      </c>
      <c r="Y28" s="41"/>
    </row>
    <row r="29" ht="15.0" customHeight="1">
      <c r="A29" s="27" t="s">
        <v>46</v>
      </c>
      <c r="B29" s="28">
        <v>5000.0</v>
      </c>
      <c r="C29" s="28"/>
      <c r="D29" s="28">
        <v>257000.0</v>
      </c>
      <c r="E29" s="28">
        <v>548500.0</v>
      </c>
      <c r="F29" s="28">
        <v>3000.0</v>
      </c>
      <c r="G29" s="28"/>
      <c r="H29" s="28">
        <v>21000.0</v>
      </c>
      <c r="I29" s="28">
        <v>8000.0</v>
      </c>
      <c r="J29" s="28">
        <v>36000.0</v>
      </c>
      <c r="K29" s="28">
        <v>6000.0</v>
      </c>
      <c r="L29" s="28">
        <v>56000.0</v>
      </c>
      <c r="M29" s="28">
        <v>2000.0</v>
      </c>
      <c r="N29" s="28">
        <v>1000.0</v>
      </c>
      <c r="O29" s="28"/>
      <c r="P29" s="28">
        <v>304000.0</v>
      </c>
      <c r="Q29" s="28">
        <v>40000.0</v>
      </c>
      <c r="R29" s="28">
        <v>72000.0</v>
      </c>
      <c r="S29" s="28">
        <v>6000.0</v>
      </c>
      <c r="T29" s="28"/>
      <c r="U29" s="28">
        <v>263150.0</v>
      </c>
      <c r="V29" s="28"/>
      <c r="W29" s="28">
        <v>17000.0</v>
      </c>
      <c r="X29" s="29">
        <v>1645650.0</v>
      </c>
      <c r="Y29" s="41"/>
    </row>
    <row r="30" ht="15.0" customHeight="1">
      <c r="A30" s="27" t="s">
        <v>47</v>
      </c>
      <c r="B30" s="28"/>
      <c r="C30" s="28">
        <v>4000.0</v>
      </c>
      <c r="D30" s="28">
        <v>18000.0</v>
      </c>
      <c r="E30" s="28">
        <v>29000.0</v>
      </c>
      <c r="F30" s="28"/>
      <c r="G30" s="28">
        <v>2000.0</v>
      </c>
      <c r="H30" s="28">
        <v>4000.0</v>
      </c>
      <c r="I30" s="28">
        <v>3000.0</v>
      </c>
      <c r="J30" s="28">
        <v>6000.0</v>
      </c>
      <c r="K30" s="28"/>
      <c r="L30" s="28"/>
      <c r="M30" s="28"/>
      <c r="N30" s="28">
        <v>20000.0</v>
      </c>
      <c r="O30" s="28">
        <v>12000.0</v>
      </c>
      <c r="P30" s="28">
        <v>6000.0</v>
      </c>
      <c r="Q30" s="28"/>
      <c r="R30" s="28">
        <v>11000.0</v>
      </c>
      <c r="S30" s="28"/>
      <c r="T30" s="28">
        <v>6000.0</v>
      </c>
      <c r="U30" s="28"/>
      <c r="V30" s="28"/>
      <c r="W30" s="28">
        <v>19000.0</v>
      </c>
      <c r="X30" s="29">
        <v>140000.0</v>
      </c>
      <c r="Y30" s="41"/>
    </row>
    <row r="31" ht="15.0" customHeight="1">
      <c r="A31" s="27" t="s">
        <v>48</v>
      </c>
      <c r="B31" s="28">
        <v>2200.0</v>
      </c>
      <c r="C31" s="28"/>
      <c r="D31" s="28">
        <v>18000.0</v>
      </c>
      <c r="E31" s="28">
        <v>36000.0</v>
      </c>
      <c r="F31" s="28"/>
      <c r="G31" s="28"/>
      <c r="H31" s="28">
        <v>4000.0</v>
      </c>
      <c r="I31" s="28">
        <v>2000.0</v>
      </c>
      <c r="J31" s="28">
        <v>46500.0</v>
      </c>
      <c r="K31" s="28">
        <v>21000.0</v>
      </c>
      <c r="L31" s="28">
        <v>78000.0</v>
      </c>
      <c r="M31" s="28"/>
      <c r="N31" s="28">
        <v>1000.0</v>
      </c>
      <c r="O31" s="28"/>
      <c r="P31" s="28">
        <v>6000.0</v>
      </c>
      <c r="Q31" s="28"/>
      <c r="R31" s="28"/>
      <c r="S31" s="28"/>
      <c r="T31" s="28"/>
      <c r="U31" s="28">
        <v>6000.0</v>
      </c>
      <c r="V31" s="28"/>
      <c r="W31" s="28">
        <v>1000.0</v>
      </c>
      <c r="X31" s="29">
        <v>221700.0</v>
      </c>
      <c r="Y31" s="41"/>
    </row>
    <row r="32" ht="15.0" customHeight="1">
      <c r="A32" s="27" t="s">
        <v>49</v>
      </c>
      <c r="B32" s="28">
        <v>10000.0</v>
      </c>
      <c r="C32" s="28">
        <v>1110.0</v>
      </c>
      <c r="D32" s="28">
        <v>34000.0</v>
      </c>
      <c r="E32" s="28">
        <v>52000.0</v>
      </c>
      <c r="F32" s="28"/>
      <c r="G32" s="28"/>
      <c r="H32" s="28">
        <v>3000.0</v>
      </c>
      <c r="I32" s="28"/>
      <c r="J32" s="28">
        <v>12000.0</v>
      </c>
      <c r="K32" s="28">
        <v>7000.0</v>
      </c>
      <c r="L32" s="28">
        <v>8000.0</v>
      </c>
      <c r="M32" s="28">
        <v>2000.0</v>
      </c>
      <c r="N32" s="28">
        <v>4000.0</v>
      </c>
      <c r="O32" s="28"/>
      <c r="P32" s="28">
        <v>35000.0</v>
      </c>
      <c r="Q32" s="28">
        <v>8000.0</v>
      </c>
      <c r="R32" s="28">
        <v>39000.0</v>
      </c>
      <c r="S32" s="28">
        <v>2000.0</v>
      </c>
      <c r="T32" s="28"/>
      <c r="U32" s="28">
        <v>24000.0</v>
      </c>
      <c r="V32" s="28"/>
      <c r="W32" s="28">
        <v>13000.0</v>
      </c>
      <c r="X32" s="29">
        <v>254110.0</v>
      </c>
      <c r="Y32" s="41"/>
    </row>
    <row r="33" ht="15.0" customHeight="1">
      <c r="A33" s="27" t="s">
        <v>50</v>
      </c>
      <c r="B33" s="28"/>
      <c r="C33" s="28">
        <v>2000.0</v>
      </c>
      <c r="D33" s="28">
        <v>28000.0</v>
      </c>
      <c r="E33" s="28">
        <v>142500.0</v>
      </c>
      <c r="F33" s="28"/>
      <c r="G33" s="28"/>
      <c r="H33" s="28">
        <v>3000.0</v>
      </c>
      <c r="I33" s="28">
        <v>336500.0</v>
      </c>
      <c r="J33" s="28">
        <v>74000.0</v>
      </c>
      <c r="K33" s="28">
        <v>16000.0</v>
      </c>
      <c r="L33" s="28">
        <v>279000.0</v>
      </c>
      <c r="M33" s="28">
        <v>1000.0</v>
      </c>
      <c r="N33" s="28">
        <v>14000.0</v>
      </c>
      <c r="O33" s="28"/>
      <c r="P33" s="28">
        <v>1000.0</v>
      </c>
      <c r="Q33" s="28"/>
      <c r="R33" s="28"/>
      <c r="S33" s="28"/>
      <c r="T33" s="28"/>
      <c r="U33" s="28">
        <v>43500.0</v>
      </c>
      <c r="V33" s="28"/>
      <c r="W33" s="28">
        <v>5000.0</v>
      </c>
      <c r="X33" s="29">
        <v>945500.0</v>
      </c>
      <c r="Y33" s="41"/>
    </row>
    <row r="34" ht="15.0" customHeight="1">
      <c r="A34" s="27" t="s">
        <v>51</v>
      </c>
      <c r="B34" s="28"/>
      <c r="C34" s="28">
        <v>705875.0</v>
      </c>
      <c r="D34" s="28"/>
      <c r="E34" s="28">
        <v>400.0</v>
      </c>
      <c r="F34" s="28"/>
      <c r="G34" s="28"/>
      <c r="H34" s="28"/>
      <c r="I34" s="28">
        <v>50280.0</v>
      </c>
      <c r="J34" s="28">
        <v>1000.0</v>
      </c>
      <c r="K34" s="28">
        <v>6900.0</v>
      </c>
      <c r="L34" s="28"/>
      <c r="M34" s="28"/>
      <c r="N34" s="28"/>
      <c r="O34" s="28"/>
      <c r="P34" s="28">
        <v>2000.0</v>
      </c>
      <c r="Q34" s="28"/>
      <c r="R34" s="28"/>
      <c r="S34" s="28"/>
      <c r="T34" s="28"/>
      <c r="U34" s="28"/>
      <c r="V34" s="28"/>
      <c r="W34" s="28"/>
      <c r="X34" s="29">
        <v>766455.0</v>
      </c>
      <c r="Y34" s="41"/>
    </row>
    <row r="35" ht="15.0" customHeight="1">
      <c r="A35" s="27" t="s">
        <v>52</v>
      </c>
      <c r="B35" s="28"/>
      <c r="C35" s="28">
        <v>648395.0</v>
      </c>
      <c r="D35" s="28"/>
      <c r="E35" s="28"/>
      <c r="F35" s="28"/>
      <c r="G35" s="28"/>
      <c r="H35" s="28"/>
      <c r="I35" s="28">
        <v>6380.0</v>
      </c>
      <c r="J35" s="28"/>
      <c r="K35" s="28">
        <v>400.0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>
        <v>655175.0</v>
      </c>
      <c r="Y35" s="41"/>
    </row>
    <row r="36" ht="15.0" customHeight="1">
      <c r="A36" s="27" t="s">
        <v>53</v>
      </c>
      <c r="B36" s="28"/>
      <c r="C36" s="28">
        <v>307850.0</v>
      </c>
      <c r="D36" s="28"/>
      <c r="E36" s="28"/>
      <c r="F36" s="28"/>
      <c r="G36" s="28"/>
      <c r="H36" s="28"/>
      <c r="I36" s="28">
        <v>1455.0</v>
      </c>
      <c r="J36" s="28"/>
      <c r="K36" s="28">
        <v>300.0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>
        <v>309605.0</v>
      </c>
      <c r="Y36" s="41"/>
    </row>
    <row r="37" ht="15.0" customHeight="1">
      <c r="A37" s="27" t="s">
        <v>54</v>
      </c>
      <c r="B37" s="28"/>
      <c r="C37" s="28">
        <v>227550.0</v>
      </c>
      <c r="D37" s="28"/>
      <c r="E37" s="28"/>
      <c r="F37" s="28"/>
      <c r="G37" s="28"/>
      <c r="H37" s="28"/>
      <c r="I37" s="28">
        <v>33350.0</v>
      </c>
      <c r="J37" s="28"/>
      <c r="K37" s="28">
        <v>400.0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>
        <v>261300.0</v>
      </c>
      <c r="Y37" s="41"/>
    </row>
    <row r="38" ht="15.0" customHeight="1">
      <c r="A38" s="27" t="s">
        <v>55</v>
      </c>
      <c r="B38" s="28"/>
      <c r="C38" s="28">
        <v>164330.0</v>
      </c>
      <c r="D38" s="28"/>
      <c r="E38" s="28"/>
      <c r="F38" s="28"/>
      <c r="G38" s="28"/>
      <c r="H38" s="28"/>
      <c r="I38" s="28">
        <v>200.0</v>
      </c>
      <c r="J38" s="28"/>
      <c r="K38" s="28">
        <v>100.0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>
        <v>164630.0</v>
      </c>
      <c r="Y38" s="41"/>
    </row>
    <row r="39" ht="15.0" customHeight="1">
      <c r="A39" s="27" t="s">
        <v>56</v>
      </c>
      <c r="B39" s="28"/>
      <c r="C39" s="28">
        <v>192125.0</v>
      </c>
      <c r="D39" s="28">
        <v>61000.0</v>
      </c>
      <c r="E39" s="28">
        <v>166000.0</v>
      </c>
      <c r="F39" s="28"/>
      <c r="G39" s="28"/>
      <c r="H39" s="28">
        <v>13000.0</v>
      </c>
      <c r="I39" s="28">
        <v>7400.0</v>
      </c>
      <c r="J39" s="28">
        <v>33000.0</v>
      </c>
      <c r="K39" s="28">
        <v>50000.0</v>
      </c>
      <c r="L39" s="28">
        <v>9000.0</v>
      </c>
      <c r="M39" s="28">
        <v>2000.0</v>
      </c>
      <c r="N39" s="28">
        <v>5000.0</v>
      </c>
      <c r="O39" s="28"/>
      <c r="P39" s="28">
        <v>60000.0</v>
      </c>
      <c r="Q39" s="28">
        <v>5000.0</v>
      </c>
      <c r="R39" s="28">
        <v>65000.0</v>
      </c>
      <c r="S39" s="28"/>
      <c r="T39" s="28"/>
      <c r="U39" s="28">
        <v>23000.0</v>
      </c>
      <c r="V39" s="28"/>
      <c r="W39" s="28">
        <v>4000.0</v>
      </c>
      <c r="X39" s="29">
        <v>695525.0</v>
      </c>
      <c r="Y39" s="41"/>
    </row>
    <row r="40" ht="15.0" customHeight="1">
      <c r="A40" s="27" t="s">
        <v>57</v>
      </c>
      <c r="B40" s="28"/>
      <c r="C40" s="28"/>
      <c r="D40" s="28">
        <v>20000.0</v>
      </c>
      <c r="E40" s="28">
        <v>12100.0</v>
      </c>
      <c r="F40" s="28"/>
      <c r="G40" s="28"/>
      <c r="H40" s="28"/>
      <c r="I40" s="28">
        <v>2000.0</v>
      </c>
      <c r="J40" s="28">
        <v>19000.0</v>
      </c>
      <c r="K40" s="28">
        <v>6000.0</v>
      </c>
      <c r="L40" s="28">
        <v>1000.0</v>
      </c>
      <c r="M40" s="28"/>
      <c r="N40" s="28"/>
      <c r="O40" s="28"/>
      <c r="P40" s="28"/>
      <c r="Q40" s="28"/>
      <c r="R40" s="28">
        <v>2000.0</v>
      </c>
      <c r="S40" s="28"/>
      <c r="T40" s="28"/>
      <c r="U40" s="28"/>
      <c r="V40" s="28"/>
      <c r="W40" s="28">
        <v>35000.0</v>
      </c>
      <c r="X40" s="29">
        <v>97100.0</v>
      </c>
      <c r="Y40" s="41"/>
    </row>
    <row r="41" ht="15.0" customHeight="1">
      <c r="A41" s="27" t="s">
        <v>58</v>
      </c>
      <c r="B41" s="28">
        <v>7000.0</v>
      </c>
      <c r="C41" s="28"/>
      <c r="D41" s="28">
        <v>236000.0</v>
      </c>
      <c r="E41" s="28">
        <v>47000.0</v>
      </c>
      <c r="F41" s="28"/>
      <c r="G41" s="28">
        <v>7000.0</v>
      </c>
      <c r="H41" s="28">
        <v>30000.0</v>
      </c>
      <c r="I41" s="28">
        <v>2000.0</v>
      </c>
      <c r="J41" s="28">
        <v>18000.0</v>
      </c>
      <c r="K41" s="28">
        <v>1000.0</v>
      </c>
      <c r="L41" s="28">
        <v>3000.0</v>
      </c>
      <c r="M41" s="28"/>
      <c r="N41" s="28"/>
      <c r="O41" s="28">
        <v>14000.0</v>
      </c>
      <c r="P41" s="28">
        <v>42000.0</v>
      </c>
      <c r="Q41" s="28"/>
      <c r="R41" s="28">
        <v>1363000.0</v>
      </c>
      <c r="S41" s="28">
        <v>8000.0</v>
      </c>
      <c r="T41" s="28"/>
      <c r="U41" s="28">
        <v>17000.0</v>
      </c>
      <c r="V41" s="28"/>
      <c r="W41" s="28">
        <v>66000.0</v>
      </c>
      <c r="X41" s="29">
        <v>1861000.0</v>
      </c>
      <c r="Y41" s="41"/>
    </row>
    <row r="42" ht="15.0" customHeight="1">
      <c r="A42" s="27" t="s">
        <v>59</v>
      </c>
      <c r="B42" s="28"/>
      <c r="C42" s="28">
        <v>1440.0</v>
      </c>
      <c r="D42" s="28"/>
      <c r="E42" s="28"/>
      <c r="F42" s="28"/>
      <c r="G42" s="28"/>
      <c r="H42" s="28"/>
      <c r="I42" s="28">
        <v>103720.0</v>
      </c>
      <c r="J42" s="28"/>
      <c r="K42" s="28">
        <v>57290.0</v>
      </c>
      <c r="L42" s="28"/>
      <c r="M42" s="28"/>
      <c r="N42" s="28">
        <v>35151.0</v>
      </c>
      <c r="O42" s="28"/>
      <c r="P42" s="28"/>
      <c r="Q42" s="28"/>
      <c r="R42" s="28"/>
      <c r="S42" s="28"/>
      <c r="T42" s="28"/>
      <c r="U42" s="28"/>
      <c r="V42" s="28"/>
      <c r="W42" s="28"/>
      <c r="X42" s="29">
        <v>197601.0</v>
      </c>
      <c r="Y42" s="41"/>
    </row>
    <row r="43" ht="15.0" customHeight="1">
      <c r="A43" s="27" t="s">
        <v>60</v>
      </c>
      <c r="B43" s="28"/>
      <c r="C43" s="28">
        <v>32885.0</v>
      </c>
      <c r="D43" s="28"/>
      <c r="E43" s="28">
        <v>15.0</v>
      </c>
      <c r="F43" s="28"/>
      <c r="G43" s="28"/>
      <c r="H43" s="28"/>
      <c r="I43" s="28">
        <v>10545.0</v>
      </c>
      <c r="J43" s="28"/>
      <c r="K43" s="28">
        <v>60.0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9">
        <v>43505.0</v>
      </c>
      <c r="Y43" s="41"/>
    </row>
    <row r="44" ht="15.0" customHeight="1">
      <c r="A44" s="27" t="s">
        <v>61</v>
      </c>
      <c r="B44" s="28"/>
      <c r="C44" s="28"/>
      <c r="D44" s="28">
        <v>2000.0</v>
      </c>
      <c r="E44" s="28"/>
      <c r="F44" s="28"/>
      <c r="G44" s="28"/>
      <c r="H44" s="28">
        <v>16000.0</v>
      </c>
      <c r="I44" s="28"/>
      <c r="J44" s="28"/>
      <c r="K44" s="28"/>
      <c r="L44" s="28">
        <v>1000.0</v>
      </c>
      <c r="M44" s="28">
        <v>2000.0</v>
      </c>
      <c r="N44" s="28"/>
      <c r="O44" s="28">
        <v>2000.0</v>
      </c>
      <c r="P44" s="28"/>
      <c r="Q44" s="28"/>
      <c r="R44" s="28"/>
      <c r="S44" s="28">
        <v>76000.0</v>
      </c>
      <c r="T44" s="28">
        <v>2000.0</v>
      </c>
      <c r="U44" s="28">
        <v>11000.0</v>
      </c>
      <c r="V44" s="28"/>
      <c r="W44" s="28"/>
      <c r="X44" s="29">
        <v>112000.0</v>
      </c>
      <c r="Y44" s="41"/>
    </row>
    <row r="45" ht="15.0" customHeight="1">
      <c r="A45" s="27" t="s">
        <v>62</v>
      </c>
      <c r="B45" s="28"/>
      <c r="C45" s="28">
        <v>144860.0</v>
      </c>
      <c r="D45" s="28">
        <v>4000.0</v>
      </c>
      <c r="E45" s="28"/>
      <c r="F45" s="28"/>
      <c r="G45" s="28"/>
      <c r="H45" s="28"/>
      <c r="I45" s="28">
        <v>47315.0</v>
      </c>
      <c r="J45" s="28"/>
      <c r="K45" s="28">
        <v>775.0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>
        <v>196950.0</v>
      </c>
      <c r="Y45" s="41"/>
    </row>
    <row r="46" ht="15.0" customHeight="1">
      <c r="A46" s="27" t="s">
        <v>63</v>
      </c>
      <c r="B46" s="28"/>
      <c r="C46" s="28">
        <v>26973.0</v>
      </c>
      <c r="D46" s="28"/>
      <c r="E46" s="28"/>
      <c r="F46" s="28"/>
      <c r="G46" s="28"/>
      <c r="H46" s="28"/>
      <c r="I46" s="28">
        <v>4734.0</v>
      </c>
      <c r="J46" s="28"/>
      <c r="K46" s="28">
        <v>20.0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>
        <v>300.0</v>
      </c>
      <c r="X46" s="29">
        <v>32027.0</v>
      </c>
      <c r="Y46" s="41"/>
    </row>
    <row r="47" ht="15.0" customHeight="1">
      <c r="A47" s="27" t="s">
        <v>64</v>
      </c>
      <c r="B47" s="28"/>
      <c r="C47" s="28"/>
      <c r="D47" s="28"/>
      <c r="E47" s="28"/>
      <c r="F47" s="28"/>
      <c r="G47" s="28"/>
      <c r="H47" s="28">
        <v>2000.0</v>
      </c>
      <c r="I47" s="28"/>
      <c r="J47" s="28"/>
      <c r="K47" s="28"/>
      <c r="L47" s="28"/>
      <c r="M47" s="28"/>
      <c r="N47" s="28"/>
      <c r="O47" s="28"/>
      <c r="P47" s="28">
        <v>2000.0</v>
      </c>
      <c r="Q47" s="28"/>
      <c r="R47" s="28">
        <v>4000.0</v>
      </c>
      <c r="S47" s="28"/>
      <c r="T47" s="28"/>
      <c r="U47" s="28">
        <v>3000.0</v>
      </c>
      <c r="V47" s="28"/>
      <c r="W47" s="28"/>
      <c r="X47" s="29">
        <v>11000.0</v>
      </c>
      <c r="Y47" s="41"/>
    </row>
    <row r="48" ht="15.0" customHeight="1">
      <c r="A48" s="27" t="s">
        <v>65</v>
      </c>
      <c r="B48" s="28"/>
      <c r="C48" s="28"/>
      <c r="D48" s="28">
        <v>7000.0</v>
      </c>
      <c r="E48" s="28">
        <v>71000.0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>
        <v>78000.0</v>
      </c>
      <c r="Y48" s="41"/>
    </row>
    <row r="49" ht="15.0" customHeight="1">
      <c r="A49" s="27" t="s">
        <v>66</v>
      </c>
      <c r="B49" s="28"/>
      <c r="C49" s="28">
        <v>9812.0</v>
      </c>
      <c r="D49" s="28"/>
      <c r="E49" s="28"/>
      <c r="F49" s="28"/>
      <c r="G49" s="28"/>
      <c r="H49" s="28"/>
      <c r="I49" s="28">
        <v>930.0</v>
      </c>
      <c r="J49" s="28"/>
      <c r="K49" s="28">
        <v>185.0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>
        <v>10927.0</v>
      </c>
      <c r="Y49" s="41"/>
    </row>
    <row r="50" ht="15.0" customHeight="1">
      <c r="A50" s="27" t="s">
        <v>67</v>
      </c>
      <c r="B50" s="28"/>
      <c r="C50" s="28">
        <v>69815.0</v>
      </c>
      <c r="D50" s="28"/>
      <c r="E50" s="28"/>
      <c r="F50" s="28"/>
      <c r="G50" s="28"/>
      <c r="H50" s="28"/>
      <c r="I50" s="28">
        <v>3235.0</v>
      </c>
      <c r="J50" s="28"/>
      <c r="K50" s="28">
        <v>250.0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>
        <v>73300.0</v>
      </c>
      <c r="Y50" s="41"/>
    </row>
    <row r="51" ht="15.0" customHeight="1">
      <c r="A51" s="27" t="s">
        <v>68</v>
      </c>
      <c r="B51" s="28"/>
      <c r="C51" s="28">
        <v>3565.0</v>
      </c>
      <c r="D51" s="28"/>
      <c r="E51" s="28"/>
      <c r="F51" s="28"/>
      <c r="G51" s="28"/>
      <c r="H51" s="28"/>
      <c r="I51" s="28">
        <v>4865.0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>
        <v>8430.0</v>
      </c>
      <c r="Y51" s="41"/>
    </row>
    <row r="52" ht="15.0" customHeight="1">
      <c r="A52" s="27" t="s">
        <v>69</v>
      </c>
      <c r="B52" s="28"/>
      <c r="C52" s="28">
        <v>21839.0</v>
      </c>
      <c r="D52" s="28"/>
      <c r="E52" s="28"/>
      <c r="F52" s="28"/>
      <c r="G52" s="28"/>
      <c r="H52" s="28"/>
      <c r="I52" s="28">
        <v>600.0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>
        <v>22439.0</v>
      </c>
      <c r="Y52" s="41"/>
    </row>
    <row r="53" ht="15.0" customHeight="1">
      <c r="A53" s="27" t="s">
        <v>70</v>
      </c>
      <c r="B53" s="28"/>
      <c r="C53" s="28">
        <v>6915.0</v>
      </c>
      <c r="D53" s="28"/>
      <c r="E53" s="28"/>
      <c r="F53" s="28"/>
      <c r="G53" s="28"/>
      <c r="H53" s="28"/>
      <c r="I53" s="28">
        <v>10.0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>
        <v>6925.0</v>
      </c>
      <c r="Y53" s="41"/>
    </row>
    <row r="54" ht="15.0" customHeight="1">
      <c r="A54" s="27" t="s">
        <v>71</v>
      </c>
      <c r="B54" s="28"/>
      <c r="C54" s="28">
        <v>136375.0</v>
      </c>
      <c r="D54" s="28"/>
      <c r="E54" s="28"/>
      <c r="F54" s="28"/>
      <c r="G54" s="28"/>
      <c r="H54" s="28"/>
      <c r="I54" s="28">
        <v>100.0</v>
      </c>
      <c r="J54" s="28"/>
      <c r="K54" s="28">
        <v>200.0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>
        <v>136675.0</v>
      </c>
      <c r="Y54" s="41"/>
    </row>
    <row r="55" ht="15.0" customHeight="1">
      <c r="A55" s="27" t="s">
        <v>72</v>
      </c>
      <c r="B55" s="28"/>
      <c r="C55" s="28">
        <v>3553.0</v>
      </c>
      <c r="D55" s="28"/>
      <c r="E55" s="28"/>
      <c r="F55" s="28"/>
      <c r="G55" s="28"/>
      <c r="H55" s="28"/>
      <c r="I55" s="28">
        <v>2003.0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>
        <v>5556.0</v>
      </c>
      <c r="Y55" s="41"/>
    </row>
    <row r="56" ht="15.0" customHeight="1">
      <c r="A56" s="27" t="s">
        <v>73</v>
      </c>
      <c r="B56" s="28"/>
      <c r="C56" s="28">
        <v>95460.0</v>
      </c>
      <c r="D56" s="28"/>
      <c r="E56" s="28"/>
      <c r="F56" s="28"/>
      <c r="G56" s="28"/>
      <c r="H56" s="28"/>
      <c r="I56" s="28">
        <v>25915.0</v>
      </c>
      <c r="J56" s="28"/>
      <c r="K56" s="28">
        <v>150.0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>
        <v>121525.0</v>
      </c>
      <c r="Y56" s="41"/>
    </row>
    <row r="57" ht="15.0" customHeight="1">
      <c r="A57" s="27" t="s">
        <v>74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>
        <v>180000.0</v>
      </c>
      <c r="V57" s="28">
        <v>921575.0</v>
      </c>
      <c r="W57" s="28">
        <v>500.0</v>
      </c>
      <c r="X57" s="29">
        <v>1102075.0</v>
      </c>
      <c r="Y57" s="41"/>
    </row>
    <row r="58" ht="15.0" customHeight="1">
      <c r="A58" s="27" t="s">
        <v>75</v>
      </c>
      <c r="B58" s="28"/>
      <c r="C58" s="28">
        <v>900.0</v>
      </c>
      <c r="D58" s="28">
        <v>2000.0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>
        <v>7300.0</v>
      </c>
      <c r="Q58" s="28"/>
      <c r="R58" s="28"/>
      <c r="S58" s="28"/>
      <c r="T58" s="28"/>
      <c r="U58" s="28">
        <v>271870.0</v>
      </c>
      <c r="V58" s="28"/>
      <c r="W58" s="28"/>
      <c r="X58" s="29">
        <v>282070.0</v>
      </c>
      <c r="Y58" s="41"/>
    </row>
    <row r="59" ht="15.0" customHeight="1">
      <c r="A59" s="27" t="s">
        <v>77</v>
      </c>
      <c r="B59" s="28"/>
      <c r="C59" s="28"/>
      <c r="D59" s="28">
        <v>7000.0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>
        <v>6000.0</v>
      </c>
      <c r="Q59" s="28"/>
      <c r="R59" s="28"/>
      <c r="S59" s="28"/>
      <c r="T59" s="28"/>
      <c r="U59" s="28">
        <v>1740100.0</v>
      </c>
      <c r="V59" s="28"/>
      <c r="W59" s="28"/>
      <c r="X59" s="29">
        <v>1753100.0</v>
      </c>
      <c r="Y59" s="41"/>
    </row>
    <row r="60" ht="15.0" customHeight="1">
      <c r="A60" s="27" t="s">
        <v>79</v>
      </c>
      <c r="B60" s="28"/>
      <c r="C60" s="28">
        <v>100.0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>
        <v>2000.0</v>
      </c>
      <c r="Q60" s="28"/>
      <c r="R60" s="28"/>
      <c r="S60" s="28"/>
      <c r="T60" s="28"/>
      <c r="U60" s="28">
        <v>89920.0</v>
      </c>
      <c r="V60" s="28"/>
      <c r="W60" s="28"/>
      <c r="X60" s="29">
        <v>92020.0</v>
      </c>
      <c r="Y60" s="41"/>
    </row>
    <row r="61" ht="15.0" customHeight="1">
      <c r="A61" s="27" t="s">
        <v>80</v>
      </c>
      <c r="B61" s="28"/>
      <c r="C61" s="28">
        <v>400.0</v>
      </c>
      <c r="D61" s="28">
        <v>20000.0</v>
      </c>
      <c r="E61" s="28">
        <v>54500.0</v>
      </c>
      <c r="F61" s="28">
        <v>6600.0</v>
      </c>
      <c r="G61" s="28"/>
      <c r="H61" s="28">
        <v>3000.0</v>
      </c>
      <c r="I61" s="28"/>
      <c r="J61" s="28"/>
      <c r="K61" s="28"/>
      <c r="L61" s="28">
        <v>2000.0</v>
      </c>
      <c r="M61" s="28"/>
      <c r="N61" s="28">
        <v>2000.0</v>
      </c>
      <c r="O61" s="28"/>
      <c r="P61" s="28">
        <v>76000.0</v>
      </c>
      <c r="Q61" s="28">
        <v>2000.0</v>
      </c>
      <c r="R61" s="28">
        <v>16000.0</v>
      </c>
      <c r="S61" s="28"/>
      <c r="T61" s="28"/>
      <c r="U61" s="28">
        <v>943090.0</v>
      </c>
      <c r="V61" s="28"/>
      <c r="W61" s="28">
        <v>898750.0</v>
      </c>
      <c r="X61" s="29">
        <v>2024340.0</v>
      </c>
      <c r="Y61" s="41"/>
    </row>
    <row r="62" ht="15.0" customHeight="1">
      <c r="A62" s="27" t="s">
        <v>81</v>
      </c>
      <c r="B62" s="28"/>
      <c r="C62" s="28"/>
      <c r="D62" s="28"/>
      <c r="E62" s="28"/>
      <c r="F62" s="28"/>
      <c r="G62" s="28"/>
      <c r="H62" s="28"/>
      <c r="I62" s="28">
        <v>20.0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>
        <v>120674.0</v>
      </c>
      <c r="V62" s="28"/>
      <c r="W62" s="28"/>
      <c r="X62" s="29">
        <v>120694.0</v>
      </c>
      <c r="Y62" s="41"/>
    </row>
    <row r="63" ht="15.0" customHeight="1">
      <c r="A63" s="27" t="s">
        <v>82</v>
      </c>
      <c r="B63" s="28"/>
      <c r="C63" s="28">
        <v>1500.0</v>
      </c>
      <c r="D63" s="28"/>
      <c r="E63" s="28">
        <v>957500.0</v>
      </c>
      <c r="F63" s="28"/>
      <c r="G63" s="28">
        <v>3569100.0</v>
      </c>
      <c r="H63" s="28"/>
      <c r="I63" s="28"/>
      <c r="J63" s="28">
        <v>2715500.0</v>
      </c>
      <c r="K63" s="28">
        <v>10000.0</v>
      </c>
      <c r="L63" s="28"/>
      <c r="M63" s="28"/>
      <c r="N63" s="28"/>
      <c r="O63" s="28"/>
      <c r="P63" s="28">
        <v>2000.0</v>
      </c>
      <c r="Q63" s="28"/>
      <c r="R63" s="28"/>
      <c r="S63" s="28"/>
      <c r="T63" s="28">
        <v>3337300.0</v>
      </c>
      <c r="U63" s="28">
        <v>1015150.0</v>
      </c>
      <c r="V63" s="28"/>
      <c r="W63" s="28">
        <v>2947600.0</v>
      </c>
      <c r="X63" s="29">
        <v>1.455565E7</v>
      </c>
      <c r="Y63" s="41"/>
    </row>
    <row r="64" ht="15.0" customHeight="1">
      <c r="A64" s="27" t="s">
        <v>83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>
        <v>3965390.0</v>
      </c>
      <c r="V64" s="28"/>
      <c r="W64" s="28"/>
      <c r="X64" s="29">
        <v>3965390.0</v>
      </c>
      <c r="Y64" s="41"/>
    </row>
    <row r="65" ht="15.0" customHeight="1">
      <c r="A65" s="27" t="s">
        <v>84</v>
      </c>
      <c r="B65" s="28"/>
      <c r="C65" s="28"/>
      <c r="D65" s="28"/>
      <c r="E65" s="28"/>
      <c r="F65" s="28"/>
      <c r="G65" s="28"/>
      <c r="H65" s="28"/>
      <c r="I65" s="28">
        <v>150.0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>
        <v>93800.0</v>
      </c>
      <c r="U65" s="28">
        <v>242040.0</v>
      </c>
      <c r="V65" s="28"/>
      <c r="W65" s="28">
        <v>19000.0</v>
      </c>
      <c r="X65" s="29">
        <v>354990.0</v>
      </c>
      <c r="Y65" s="41"/>
    </row>
    <row r="66" ht="15.0" customHeight="1">
      <c r="A66" s="27" t="s">
        <v>85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>
        <v>24440.0</v>
      </c>
      <c r="X66" s="29">
        <v>24440.0</v>
      </c>
      <c r="Y66" s="41"/>
    </row>
    <row r="67" ht="15.0" customHeight="1">
      <c r="A67" s="27" t="s">
        <v>86</v>
      </c>
      <c r="B67" s="28"/>
      <c r="C67" s="28"/>
      <c r="D67" s="28">
        <v>1920.0</v>
      </c>
      <c r="E67" s="28"/>
      <c r="F67" s="28"/>
      <c r="G67" s="28"/>
      <c r="H67" s="28">
        <v>1000.0</v>
      </c>
      <c r="I67" s="28"/>
      <c r="J67" s="28"/>
      <c r="K67" s="28"/>
      <c r="L67" s="28"/>
      <c r="M67" s="28"/>
      <c r="N67" s="28"/>
      <c r="O67" s="28">
        <v>2070.0</v>
      </c>
      <c r="P67" s="28"/>
      <c r="Q67" s="28"/>
      <c r="R67" s="28"/>
      <c r="S67" s="28"/>
      <c r="T67" s="28"/>
      <c r="U67" s="28">
        <v>115195.0</v>
      </c>
      <c r="V67" s="28"/>
      <c r="W67" s="28">
        <v>300.0</v>
      </c>
      <c r="X67" s="29">
        <v>120485.0</v>
      </c>
      <c r="Y67" s="41"/>
    </row>
    <row r="68" ht="15.0" customHeight="1">
      <c r="A68" s="27" t="s">
        <v>87</v>
      </c>
      <c r="B68" s="28">
        <v>4000.0</v>
      </c>
      <c r="C68" s="28">
        <v>86610.0</v>
      </c>
      <c r="D68" s="28">
        <v>283000.0</v>
      </c>
      <c r="E68" s="28">
        <v>1408000.0</v>
      </c>
      <c r="F68" s="28"/>
      <c r="G68" s="28"/>
      <c r="H68" s="28">
        <v>209000.0</v>
      </c>
      <c r="I68" s="28">
        <v>479850.0</v>
      </c>
      <c r="J68" s="28">
        <v>292500.0</v>
      </c>
      <c r="K68" s="28">
        <v>520200.0</v>
      </c>
      <c r="L68" s="28">
        <v>259000.0</v>
      </c>
      <c r="M68" s="28">
        <v>16000.0</v>
      </c>
      <c r="N68" s="28">
        <v>348600.0</v>
      </c>
      <c r="O68" s="28">
        <v>116000.0</v>
      </c>
      <c r="P68" s="28">
        <v>69000.0</v>
      </c>
      <c r="Q68" s="28">
        <v>6000.0</v>
      </c>
      <c r="R68" s="28">
        <v>22000.0</v>
      </c>
      <c r="S68" s="28">
        <v>2000.0</v>
      </c>
      <c r="T68" s="28"/>
      <c r="U68" s="28">
        <v>526000.0</v>
      </c>
      <c r="V68" s="28"/>
      <c r="W68" s="28">
        <v>39000.0</v>
      </c>
      <c r="X68" s="29">
        <v>4686760.0</v>
      </c>
      <c r="Y68" s="41"/>
    </row>
    <row r="69" ht="15.0" customHeight="1">
      <c r="A69" s="27" t="s">
        <v>88</v>
      </c>
      <c r="B69" s="28"/>
      <c r="C69" s="28"/>
      <c r="D69" s="28">
        <v>234000.0</v>
      </c>
      <c r="E69" s="28">
        <v>84000.0</v>
      </c>
      <c r="F69" s="28"/>
      <c r="G69" s="28"/>
      <c r="H69" s="28">
        <v>14000.0</v>
      </c>
      <c r="I69" s="28"/>
      <c r="J69" s="28">
        <v>51000.0</v>
      </c>
      <c r="K69" s="28"/>
      <c r="L69" s="28">
        <v>19000.0</v>
      </c>
      <c r="M69" s="28">
        <v>7000.0</v>
      </c>
      <c r="N69" s="28">
        <v>3000.0</v>
      </c>
      <c r="O69" s="28">
        <v>20000.0</v>
      </c>
      <c r="P69" s="28">
        <v>13000.0</v>
      </c>
      <c r="Q69" s="28">
        <v>4000.0</v>
      </c>
      <c r="R69" s="28">
        <v>7000.0</v>
      </c>
      <c r="S69" s="28">
        <v>32000.0</v>
      </c>
      <c r="T69" s="28"/>
      <c r="U69" s="28">
        <v>76450.0</v>
      </c>
      <c r="V69" s="28"/>
      <c r="W69" s="28">
        <v>56700.0</v>
      </c>
      <c r="X69" s="29">
        <v>621150.0</v>
      </c>
      <c r="Y69" s="41"/>
    </row>
    <row r="70" ht="15.0" customHeight="1">
      <c r="A70" s="27" t="s">
        <v>89</v>
      </c>
      <c r="B70" s="28"/>
      <c r="C70" s="28"/>
      <c r="D70" s="28">
        <v>3000.0</v>
      </c>
      <c r="E70" s="28">
        <v>3000.0</v>
      </c>
      <c r="F70" s="28"/>
      <c r="G70" s="28">
        <v>3000.0</v>
      </c>
      <c r="H70" s="28"/>
      <c r="I70" s="28"/>
      <c r="J70" s="28"/>
      <c r="K70" s="28"/>
      <c r="L70" s="28">
        <v>1000.0</v>
      </c>
      <c r="M70" s="28"/>
      <c r="N70" s="28">
        <v>1000.0</v>
      </c>
      <c r="O70" s="28"/>
      <c r="P70" s="28"/>
      <c r="Q70" s="28"/>
      <c r="R70" s="28"/>
      <c r="S70" s="28"/>
      <c r="T70" s="28"/>
      <c r="U70" s="28"/>
      <c r="V70" s="28"/>
      <c r="W70" s="28">
        <v>5000.0</v>
      </c>
      <c r="X70" s="29">
        <v>16000.0</v>
      </c>
      <c r="Y70" s="41"/>
    </row>
    <row r="71" ht="15.0" customHeight="1">
      <c r="A71" s="27" t="s">
        <v>90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>
        <v>5500.0</v>
      </c>
      <c r="X71" s="29">
        <v>5500.0</v>
      </c>
      <c r="Y71" s="41"/>
    </row>
    <row r="72" ht="15.0" customHeight="1">
      <c r="A72" s="27" t="s">
        <v>91</v>
      </c>
      <c r="B72" s="28"/>
      <c r="C72" s="28"/>
      <c r="D72" s="28"/>
      <c r="E72" s="28">
        <v>6000.0</v>
      </c>
      <c r="F72" s="28"/>
      <c r="G72" s="28"/>
      <c r="H72" s="28"/>
      <c r="I72" s="28">
        <v>100.0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>
        <v>3710.0</v>
      </c>
      <c r="V72" s="28">
        <v>42975.0</v>
      </c>
      <c r="W72" s="28">
        <v>5690.0</v>
      </c>
      <c r="X72" s="29">
        <v>58475.0</v>
      </c>
      <c r="Y72" s="41"/>
    </row>
    <row r="73" ht="15.0" customHeight="1">
      <c r="A73" s="27" t="s">
        <v>92</v>
      </c>
      <c r="B73" s="28"/>
      <c r="C73" s="28">
        <v>6000.0</v>
      </c>
      <c r="D73" s="28">
        <v>350160.0</v>
      </c>
      <c r="E73" s="28">
        <v>5600.0</v>
      </c>
      <c r="F73" s="28"/>
      <c r="G73" s="28"/>
      <c r="H73" s="28"/>
      <c r="I73" s="28">
        <v>2100.0</v>
      </c>
      <c r="J73" s="28"/>
      <c r="K73" s="28"/>
      <c r="L73" s="28">
        <v>12000.0</v>
      </c>
      <c r="M73" s="28"/>
      <c r="N73" s="28"/>
      <c r="O73" s="28">
        <v>5250.0</v>
      </c>
      <c r="P73" s="28">
        <v>300.0</v>
      </c>
      <c r="Q73" s="28"/>
      <c r="R73" s="28"/>
      <c r="S73" s="28">
        <v>3000.0</v>
      </c>
      <c r="T73" s="28"/>
      <c r="U73" s="28">
        <v>83556.0</v>
      </c>
      <c r="V73" s="28">
        <v>600.0</v>
      </c>
      <c r="W73" s="28">
        <v>100.0</v>
      </c>
      <c r="X73" s="29">
        <v>468666.0</v>
      </c>
      <c r="Y73" s="41"/>
    </row>
    <row r="74" ht="15.0" customHeight="1">
      <c r="A74" s="27" t="s">
        <v>93</v>
      </c>
      <c r="B74" s="28"/>
      <c r="C74" s="28"/>
      <c r="D74" s="28"/>
      <c r="E74" s="28">
        <v>4000.0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>
        <v>171050.0</v>
      </c>
      <c r="V74" s="28"/>
      <c r="W74" s="28">
        <v>9510.0</v>
      </c>
      <c r="X74" s="29">
        <v>184560.0</v>
      </c>
      <c r="Y74" s="41"/>
    </row>
    <row r="75" ht="15.0" customHeight="1">
      <c r="A75" s="27" t="s">
        <v>94</v>
      </c>
      <c r="B75" s="28"/>
      <c r="C75" s="28"/>
      <c r="D75" s="28"/>
      <c r="E75" s="28">
        <v>7000.0</v>
      </c>
      <c r="F75" s="28"/>
      <c r="G75" s="28"/>
      <c r="H75" s="28"/>
      <c r="I75" s="28">
        <v>36000.0</v>
      </c>
      <c r="J75" s="28">
        <v>22000.0</v>
      </c>
      <c r="K75" s="28">
        <v>2000.0</v>
      </c>
      <c r="L75" s="28">
        <v>4000.0</v>
      </c>
      <c r="M75" s="28"/>
      <c r="N75" s="28">
        <v>1000.0</v>
      </c>
      <c r="O75" s="28"/>
      <c r="P75" s="28"/>
      <c r="Q75" s="28"/>
      <c r="R75" s="28"/>
      <c r="S75" s="28"/>
      <c r="T75" s="28"/>
      <c r="U75" s="28"/>
      <c r="V75" s="28"/>
      <c r="W75" s="28"/>
      <c r="X75" s="29">
        <v>72000.0</v>
      </c>
      <c r="Y75" s="41"/>
    </row>
    <row r="76" ht="15.0" customHeight="1">
      <c r="A76" s="27" t="s">
        <v>115</v>
      </c>
      <c r="B76" s="28"/>
      <c r="C76" s="28"/>
      <c r="D76" s="28"/>
      <c r="E76" s="28">
        <v>3500.0</v>
      </c>
      <c r="F76" s="28"/>
      <c r="G76" s="28"/>
      <c r="H76" s="28"/>
      <c r="I76" s="28"/>
      <c r="J76" s="28"/>
      <c r="K76" s="28"/>
      <c r="L76" s="28"/>
      <c r="M76" s="28"/>
      <c r="N76" s="28">
        <v>2000.0</v>
      </c>
      <c r="O76" s="28"/>
      <c r="P76" s="28"/>
      <c r="Q76" s="28"/>
      <c r="R76" s="28"/>
      <c r="S76" s="28"/>
      <c r="T76" s="28"/>
      <c r="U76" s="28">
        <v>1350.0</v>
      </c>
      <c r="V76" s="28"/>
      <c r="W76" s="28"/>
      <c r="X76" s="29">
        <v>6850.0</v>
      </c>
      <c r="Y76" s="41"/>
    </row>
    <row r="77" ht="15.0" customHeight="1">
      <c r="A77" s="27" t="s">
        <v>116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>
        <v>300.0</v>
      </c>
      <c r="V77" s="28"/>
      <c r="W77" s="28"/>
      <c r="X77" s="29">
        <v>300.0</v>
      </c>
      <c r="Y77" s="41"/>
    </row>
    <row r="78" ht="15.0" customHeight="1">
      <c r="A78" s="27" t="s">
        <v>95</v>
      </c>
      <c r="B78" s="28"/>
      <c r="C78" s="28">
        <v>70.0</v>
      </c>
      <c r="D78" s="28"/>
      <c r="E78" s="28">
        <v>9245.0</v>
      </c>
      <c r="F78" s="28"/>
      <c r="G78" s="28"/>
      <c r="H78" s="28"/>
      <c r="I78" s="28">
        <v>300.0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>
        <v>11960.0</v>
      </c>
      <c r="V78" s="28"/>
      <c r="W78" s="28">
        <v>3650.0</v>
      </c>
      <c r="X78" s="29">
        <v>25225.0</v>
      </c>
      <c r="Y78" s="41"/>
    </row>
    <row r="79" ht="15.0" customHeight="1">
      <c r="A79" s="27" t="s">
        <v>96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>
        <v>1400.0</v>
      </c>
      <c r="V79" s="28"/>
      <c r="W79" s="28"/>
      <c r="X79" s="29">
        <v>1400.0</v>
      </c>
      <c r="Y79" s="41"/>
    </row>
    <row r="80" ht="15.0" customHeight="1">
      <c r="A80" s="27" t="s">
        <v>117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>
        <v>12.0</v>
      </c>
      <c r="X80" s="29">
        <v>12.0</v>
      </c>
      <c r="Y80" s="41"/>
    </row>
    <row r="81" ht="15.0" customHeight="1">
      <c r="A81" s="27" t="s">
        <v>97</v>
      </c>
      <c r="B81" s="28">
        <v>3000.0</v>
      </c>
      <c r="C81" s="28">
        <v>15600.0</v>
      </c>
      <c r="D81" s="28">
        <v>130000.0</v>
      </c>
      <c r="E81" s="28">
        <v>435600.0</v>
      </c>
      <c r="F81" s="28"/>
      <c r="G81" s="28"/>
      <c r="H81" s="28">
        <v>5000.0</v>
      </c>
      <c r="I81" s="28">
        <v>27300.0</v>
      </c>
      <c r="J81" s="28">
        <v>122000.0</v>
      </c>
      <c r="K81" s="28">
        <v>130000.0</v>
      </c>
      <c r="L81" s="28">
        <v>218000.0</v>
      </c>
      <c r="M81" s="28">
        <v>10000.0</v>
      </c>
      <c r="N81" s="28">
        <v>821000.0</v>
      </c>
      <c r="O81" s="28">
        <v>15000.0</v>
      </c>
      <c r="P81" s="28">
        <v>5000.0</v>
      </c>
      <c r="Q81" s="28"/>
      <c r="R81" s="28">
        <v>8000.0</v>
      </c>
      <c r="S81" s="28">
        <v>1000.0</v>
      </c>
      <c r="T81" s="28">
        <v>7000.0</v>
      </c>
      <c r="U81" s="28">
        <v>10150.0</v>
      </c>
      <c r="V81" s="28">
        <v>56000.0</v>
      </c>
      <c r="W81" s="28">
        <v>384500.0</v>
      </c>
      <c r="X81" s="29">
        <v>2404150.0</v>
      </c>
      <c r="Y81" s="41"/>
    </row>
    <row r="82" ht="15.0" customHeight="1">
      <c r="A82" s="27" t="s">
        <v>98</v>
      </c>
      <c r="B82" s="28"/>
      <c r="C82" s="28">
        <v>1000.0</v>
      </c>
      <c r="D82" s="28"/>
      <c r="E82" s="28">
        <v>2000.0</v>
      </c>
      <c r="F82" s="28"/>
      <c r="G82" s="28"/>
      <c r="H82" s="28">
        <v>2000.0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>
        <v>82200.0</v>
      </c>
      <c r="V82" s="28"/>
      <c r="W82" s="28"/>
      <c r="X82" s="29">
        <v>87200.0</v>
      </c>
      <c r="Y82" s="41"/>
    </row>
    <row r="83" ht="15.0" customHeight="1">
      <c r="A83" s="27" t="s">
        <v>99</v>
      </c>
      <c r="B83" s="28">
        <v>3000.0</v>
      </c>
      <c r="C83" s="28">
        <v>113525.0</v>
      </c>
      <c r="D83" s="28">
        <v>103100.0</v>
      </c>
      <c r="E83" s="28">
        <v>223500.0</v>
      </c>
      <c r="F83" s="28"/>
      <c r="G83" s="28"/>
      <c r="H83" s="28">
        <v>155000.0</v>
      </c>
      <c r="I83" s="28">
        <v>16525.0</v>
      </c>
      <c r="J83" s="28">
        <v>68000.0</v>
      </c>
      <c r="K83" s="28">
        <v>1000.0</v>
      </c>
      <c r="L83" s="28">
        <v>51500.0</v>
      </c>
      <c r="M83" s="28">
        <v>17000.0</v>
      </c>
      <c r="N83" s="28">
        <v>190000.0</v>
      </c>
      <c r="O83" s="28"/>
      <c r="P83" s="28">
        <v>227000.0</v>
      </c>
      <c r="Q83" s="28">
        <v>16000.0</v>
      </c>
      <c r="R83" s="28">
        <v>78000.0</v>
      </c>
      <c r="S83" s="28">
        <v>5000.0</v>
      </c>
      <c r="T83" s="28"/>
      <c r="U83" s="28">
        <v>2715000.0</v>
      </c>
      <c r="V83" s="28"/>
      <c r="W83" s="28">
        <v>19500.0</v>
      </c>
      <c r="X83" s="29">
        <v>4002650.0</v>
      </c>
      <c r="Y83" s="41"/>
    </row>
    <row r="84" ht="15.0" customHeight="1">
      <c r="A84" s="27" t="s">
        <v>100</v>
      </c>
      <c r="B84" s="28"/>
      <c r="C84" s="28">
        <v>1000.0</v>
      </c>
      <c r="D84" s="28">
        <v>76000.0</v>
      </c>
      <c r="E84" s="28">
        <v>61000.0</v>
      </c>
      <c r="F84" s="28"/>
      <c r="G84" s="28"/>
      <c r="H84" s="28">
        <v>2000.0</v>
      </c>
      <c r="I84" s="28"/>
      <c r="J84" s="28">
        <v>11000.0</v>
      </c>
      <c r="K84" s="28"/>
      <c r="L84" s="28">
        <v>20000.0</v>
      </c>
      <c r="M84" s="28">
        <v>2000.0</v>
      </c>
      <c r="N84" s="28"/>
      <c r="O84" s="28"/>
      <c r="P84" s="28">
        <v>23000.0</v>
      </c>
      <c r="Q84" s="28"/>
      <c r="R84" s="28">
        <v>1000.0</v>
      </c>
      <c r="S84" s="28"/>
      <c r="T84" s="28"/>
      <c r="U84" s="28">
        <v>349000.0</v>
      </c>
      <c r="V84" s="28"/>
      <c r="W84" s="28">
        <v>10000.0</v>
      </c>
      <c r="X84" s="29">
        <v>556000.0</v>
      </c>
      <c r="Y84" s="41"/>
    </row>
    <row r="85" ht="15.0" customHeight="1">
      <c r="A85" s="27" t="s">
        <v>101</v>
      </c>
      <c r="B85" s="28"/>
      <c r="C85" s="28">
        <v>301390.0</v>
      </c>
      <c r="D85" s="28"/>
      <c r="E85" s="28"/>
      <c r="F85" s="28"/>
      <c r="G85" s="28"/>
      <c r="H85" s="28"/>
      <c r="I85" s="28">
        <v>5955.0</v>
      </c>
      <c r="J85" s="28">
        <v>2000.0</v>
      </c>
      <c r="K85" s="28">
        <v>3385.0</v>
      </c>
      <c r="L85" s="28"/>
      <c r="M85" s="28"/>
      <c r="N85" s="28">
        <v>1000.0</v>
      </c>
      <c r="O85" s="28"/>
      <c r="P85" s="28"/>
      <c r="Q85" s="28"/>
      <c r="R85" s="28"/>
      <c r="S85" s="28"/>
      <c r="T85" s="28"/>
      <c r="U85" s="28"/>
      <c r="V85" s="28">
        <v>7000.0</v>
      </c>
      <c r="W85" s="28"/>
      <c r="X85" s="29">
        <v>320730.0</v>
      </c>
      <c r="Y85" s="41"/>
    </row>
    <row r="86" ht="15.0" customHeight="1">
      <c r="A86" s="27" t="s">
        <v>102</v>
      </c>
      <c r="B86" s="28"/>
      <c r="C86" s="28">
        <v>311915.0</v>
      </c>
      <c r="D86" s="28">
        <v>4000.0</v>
      </c>
      <c r="E86" s="28"/>
      <c r="F86" s="28"/>
      <c r="G86" s="28"/>
      <c r="H86" s="28"/>
      <c r="I86" s="28">
        <v>1785.0</v>
      </c>
      <c r="J86" s="28"/>
      <c r="K86" s="28">
        <v>1185.0</v>
      </c>
      <c r="L86" s="28">
        <v>12700.0</v>
      </c>
      <c r="M86" s="28"/>
      <c r="N86" s="28"/>
      <c r="O86" s="28"/>
      <c r="P86" s="28">
        <v>3000.0</v>
      </c>
      <c r="Q86" s="28"/>
      <c r="R86" s="28"/>
      <c r="S86" s="28"/>
      <c r="T86" s="28"/>
      <c r="U86" s="28"/>
      <c r="V86" s="28"/>
      <c r="W86" s="28"/>
      <c r="X86" s="29">
        <v>334585.0</v>
      </c>
      <c r="Y86" s="41"/>
    </row>
    <row r="87" ht="15.0" customHeight="1">
      <c r="A87" s="27" t="s">
        <v>103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>
        <v>1000.0</v>
      </c>
      <c r="M87" s="28"/>
      <c r="N87" s="28"/>
      <c r="O87" s="28"/>
      <c r="P87" s="28"/>
      <c r="Q87" s="28"/>
      <c r="R87" s="28"/>
      <c r="S87" s="28"/>
      <c r="T87" s="28"/>
      <c r="U87" s="28"/>
      <c r="V87" s="28">
        <v>1790000.0</v>
      </c>
      <c r="W87" s="28"/>
      <c r="X87" s="29">
        <v>1791000.0</v>
      </c>
      <c r="Y87" s="41"/>
    </row>
    <row r="88" ht="15.0" customHeight="1">
      <c r="A88" s="27" t="s">
        <v>104</v>
      </c>
      <c r="B88" s="28"/>
      <c r="C88" s="28">
        <v>2000.0</v>
      </c>
      <c r="D88" s="28">
        <v>4000.0</v>
      </c>
      <c r="E88" s="28">
        <v>24000.0</v>
      </c>
      <c r="F88" s="28"/>
      <c r="G88" s="28"/>
      <c r="H88" s="28">
        <v>4000.0</v>
      </c>
      <c r="I88" s="28">
        <v>8000.0</v>
      </c>
      <c r="J88" s="28">
        <v>58000.0</v>
      </c>
      <c r="K88" s="28">
        <v>9000.0</v>
      </c>
      <c r="L88" s="28">
        <v>33000.0</v>
      </c>
      <c r="M88" s="28"/>
      <c r="N88" s="28">
        <v>7000.0</v>
      </c>
      <c r="O88" s="28"/>
      <c r="P88" s="28">
        <v>13000.0</v>
      </c>
      <c r="Q88" s="28"/>
      <c r="R88" s="28"/>
      <c r="S88" s="28"/>
      <c r="T88" s="28"/>
      <c r="U88" s="28"/>
      <c r="V88" s="28"/>
      <c r="W88" s="28">
        <v>33500.0</v>
      </c>
      <c r="X88" s="29">
        <v>195500.0</v>
      </c>
      <c r="Y88" s="41"/>
    </row>
    <row r="89" ht="15.0" customHeight="1">
      <c r="A89" s="27" t="s">
        <v>105</v>
      </c>
      <c r="B89" s="28"/>
      <c r="C89" s="28">
        <v>100.0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>
        <v>3000.0</v>
      </c>
      <c r="V89" s="28"/>
      <c r="W89" s="28"/>
      <c r="X89" s="29">
        <v>3100.0</v>
      </c>
      <c r="Y89" s="41"/>
    </row>
    <row r="90" ht="15.0" customHeight="1">
      <c r="A90" s="27" t="s">
        <v>106</v>
      </c>
      <c r="B90" s="28"/>
      <c r="C90" s="28">
        <v>4380.0</v>
      </c>
      <c r="D90" s="28"/>
      <c r="E90" s="28"/>
      <c r="F90" s="28"/>
      <c r="G90" s="28"/>
      <c r="H90" s="28"/>
      <c r="I90" s="28">
        <v>150.0</v>
      </c>
      <c r="J90" s="28"/>
      <c r="K90" s="28">
        <v>25.0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9">
        <v>4555.0</v>
      </c>
      <c r="Y90" s="41"/>
    </row>
    <row r="91" ht="15.0" customHeight="1">
      <c r="A91" s="27" t="s">
        <v>107</v>
      </c>
      <c r="B91" s="28"/>
      <c r="C91" s="28">
        <v>32300.0</v>
      </c>
      <c r="D91" s="28">
        <v>3200.0</v>
      </c>
      <c r="E91" s="28">
        <v>12000.0</v>
      </c>
      <c r="F91" s="28">
        <v>2950.0</v>
      </c>
      <c r="G91" s="28"/>
      <c r="H91" s="28"/>
      <c r="I91" s="28">
        <v>100265.0</v>
      </c>
      <c r="J91" s="28"/>
      <c r="K91" s="28"/>
      <c r="L91" s="28"/>
      <c r="M91" s="28"/>
      <c r="N91" s="28">
        <v>8100.0</v>
      </c>
      <c r="O91" s="28"/>
      <c r="P91" s="28">
        <v>187525.0</v>
      </c>
      <c r="Q91" s="28"/>
      <c r="R91" s="28"/>
      <c r="S91" s="28"/>
      <c r="T91" s="28"/>
      <c r="U91" s="28">
        <v>2588175.0</v>
      </c>
      <c r="V91" s="28">
        <v>2600.0</v>
      </c>
      <c r="W91" s="28">
        <v>525.0</v>
      </c>
      <c r="X91" s="29">
        <v>2937640.0</v>
      </c>
      <c r="Y91" s="41"/>
    </row>
    <row r="92" ht="15.0" customHeight="1">
      <c r="A92" s="27" t="s">
        <v>118</v>
      </c>
      <c r="B92" s="28"/>
      <c r="C92" s="28">
        <v>8250.0</v>
      </c>
      <c r="D92" s="28">
        <v>4000.0</v>
      </c>
      <c r="E92" s="28">
        <v>74550.0</v>
      </c>
      <c r="F92" s="28"/>
      <c r="G92" s="28"/>
      <c r="H92" s="28">
        <v>4000.0</v>
      </c>
      <c r="I92" s="28">
        <v>18334.0</v>
      </c>
      <c r="J92" s="28">
        <v>2000.0</v>
      </c>
      <c r="K92" s="28">
        <v>3000.0</v>
      </c>
      <c r="L92" s="28">
        <v>3000.0</v>
      </c>
      <c r="M92" s="28">
        <v>2000.0</v>
      </c>
      <c r="N92" s="28"/>
      <c r="O92" s="28"/>
      <c r="P92" s="28">
        <v>34500.0</v>
      </c>
      <c r="Q92" s="28">
        <v>1000.0</v>
      </c>
      <c r="R92" s="28">
        <v>92000.0</v>
      </c>
      <c r="S92" s="28">
        <v>2000.0</v>
      </c>
      <c r="T92" s="28">
        <v>24000.0</v>
      </c>
      <c r="U92" s="28">
        <v>169300.0</v>
      </c>
      <c r="V92" s="28"/>
      <c r="W92" s="28">
        <v>79300.0</v>
      </c>
      <c r="X92" s="29">
        <v>521234.0</v>
      </c>
      <c r="Y92" s="41"/>
    </row>
    <row r="93" ht="15.0" customHeight="1">
      <c r="A93" s="27" t="s">
        <v>108</v>
      </c>
      <c r="B93" s="28"/>
      <c r="C93" s="28"/>
      <c r="D93" s="28">
        <v>1000.0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>
        <v>87100.0</v>
      </c>
      <c r="V93" s="28"/>
      <c r="W93" s="28"/>
      <c r="X93" s="29">
        <v>88100.0</v>
      </c>
      <c r="Y93" s="41"/>
    </row>
    <row r="94" ht="15.0" customHeight="1">
      <c r="A94" s="27" t="s">
        <v>109</v>
      </c>
      <c r="B94" s="28"/>
      <c r="C94" s="28"/>
      <c r="D94" s="28"/>
      <c r="E94" s="28"/>
      <c r="F94" s="28"/>
      <c r="G94" s="28"/>
      <c r="H94" s="28">
        <v>2000.0</v>
      </c>
      <c r="I94" s="28"/>
      <c r="J94" s="28"/>
      <c r="K94" s="28"/>
      <c r="L94" s="28">
        <v>6000.0</v>
      </c>
      <c r="M94" s="28"/>
      <c r="N94" s="28"/>
      <c r="O94" s="28"/>
      <c r="P94" s="28"/>
      <c r="Q94" s="28"/>
      <c r="R94" s="28">
        <v>34500.0</v>
      </c>
      <c r="S94" s="28"/>
      <c r="T94" s="28"/>
      <c r="U94" s="28"/>
      <c r="V94" s="28"/>
      <c r="W94" s="28">
        <v>22000.0</v>
      </c>
      <c r="X94" s="29">
        <v>64500.0</v>
      </c>
      <c r="Y94" s="41"/>
    </row>
    <row r="95" ht="15.0" customHeight="1">
      <c r="A95" s="27" t="s">
        <v>110</v>
      </c>
      <c r="B95" s="28"/>
      <c r="C95" s="28">
        <v>290.0</v>
      </c>
      <c r="D95" s="28"/>
      <c r="E95" s="28"/>
      <c r="F95" s="28"/>
      <c r="G95" s="28"/>
      <c r="H95" s="28"/>
      <c r="I95" s="28">
        <v>32360.0</v>
      </c>
      <c r="J95" s="28"/>
      <c r="K95" s="28">
        <v>20360.0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>
        <v>53010.0</v>
      </c>
      <c r="Y95" s="41"/>
    </row>
    <row r="96" ht="15.0" customHeight="1">
      <c r="A96" s="31"/>
      <c r="B96" s="32">
        <v>609000.0</v>
      </c>
      <c r="C96" s="32">
        <v>6966887.0</v>
      </c>
      <c r="D96" s="32">
        <v>1.227018E7</v>
      </c>
      <c r="E96" s="32">
        <v>2.793631E7</v>
      </c>
      <c r="F96" s="32">
        <v>53550.0</v>
      </c>
      <c r="G96" s="32">
        <v>3592100.0</v>
      </c>
      <c r="H96" s="32">
        <v>3795000.0</v>
      </c>
      <c r="I96" s="32">
        <v>7181866.0</v>
      </c>
      <c r="J96" s="32">
        <v>2.6535355E7</v>
      </c>
      <c r="K96" s="32">
        <v>2432785.0</v>
      </c>
      <c r="L96" s="32">
        <v>1.52597E7</v>
      </c>
      <c r="M96" s="32">
        <v>449000.0</v>
      </c>
      <c r="N96" s="32">
        <v>4664051.0</v>
      </c>
      <c r="O96" s="32">
        <v>196320.0</v>
      </c>
      <c r="P96" s="32">
        <v>5780625.0</v>
      </c>
      <c r="Q96" s="32">
        <v>743200.0</v>
      </c>
      <c r="R96" s="32">
        <v>1.06549E7</v>
      </c>
      <c r="S96" s="32">
        <v>673000.0</v>
      </c>
      <c r="T96" s="32">
        <v>3500100.0</v>
      </c>
      <c r="U96" s="32">
        <v>5.259563E7</v>
      </c>
      <c r="V96" s="32">
        <v>4487750.0</v>
      </c>
      <c r="W96" s="32">
        <v>9632777.0</v>
      </c>
      <c r="X96" s="29">
        <v>2.00010086E8</v>
      </c>
      <c r="Y96" s="41"/>
    </row>
    <row r="97" ht="15.75" customHeight="1">
      <c r="A97" s="33"/>
      <c r="B97" s="42">
        <f t="shared" ref="B97:W97" si="1">(B96/$X$96)*100</f>
        <v>0.3044846448</v>
      </c>
      <c r="C97" s="42">
        <f t="shared" si="1"/>
        <v>3.483267839</v>
      </c>
      <c r="D97" s="42">
        <f t="shared" si="1"/>
        <v>6.134780623</v>
      </c>
      <c r="E97" s="42">
        <f t="shared" si="1"/>
        <v>13.96745062</v>
      </c>
      <c r="F97" s="42">
        <f t="shared" si="1"/>
        <v>0.0267736498</v>
      </c>
      <c r="G97" s="42">
        <f t="shared" si="1"/>
        <v>1.79595943</v>
      </c>
      <c r="H97" s="42">
        <f t="shared" si="1"/>
        <v>1.897404314</v>
      </c>
      <c r="I97" s="42">
        <f t="shared" si="1"/>
        <v>3.590751918</v>
      </c>
      <c r="J97" s="42">
        <f t="shared" si="1"/>
        <v>13.26700844</v>
      </c>
      <c r="K97" s="42">
        <f t="shared" si="1"/>
        <v>1.21633116</v>
      </c>
      <c r="L97" s="42">
        <f t="shared" si="1"/>
        <v>7.629465246</v>
      </c>
      <c r="M97" s="42">
        <f t="shared" si="1"/>
        <v>0.224488679</v>
      </c>
      <c r="N97" s="42">
        <f t="shared" si="1"/>
        <v>2.331907902</v>
      </c>
      <c r="O97" s="42">
        <f t="shared" si="1"/>
        <v>0.09815505004</v>
      </c>
      <c r="P97" s="42">
        <f t="shared" si="1"/>
        <v>2.890166749</v>
      </c>
      <c r="Q97" s="42">
        <f t="shared" si="1"/>
        <v>0.3715812612</v>
      </c>
      <c r="R97" s="42">
        <f t="shared" si="1"/>
        <v>5.32718135</v>
      </c>
      <c r="S97" s="42">
        <f t="shared" si="1"/>
        <v>0.3364830312</v>
      </c>
      <c r="T97" s="42">
        <f t="shared" si="1"/>
        <v>1.749961749</v>
      </c>
      <c r="U97" s="42">
        <f t="shared" si="1"/>
        <v>26.29648887</v>
      </c>
      <c r="V97" s="42">
        <f t="shared" si="1"/>
        <v>2.243761847</v>
      </c>
      <c r="W97" s="42">
        <f t="shared" si="1"/>
        <v>4.816145622</v>
      </c>
      <c r="X97" s="43"/>
      <c r="Y97" s="44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