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<sst xmlns="http://schemas.openxmlformats.org/spreadsheetml/2006/main" count="1144" uniqueCount="138">
  <si>
    <t>Commodity</t>
  </si>
  <si>
    <t>Unit</t>
  </si>
  <si>
    <t>1 - 2073</t>
  </si>
  <si>
    <t>02 - 2073</t>
  </si>
  <si>
    <t>3 - 2073</t>
  </si>
  <si>
    <t>04 - 2073</t>
  </si>
  <si>
    <t>5 - 2073</t>
  </si>
  <si>
    <t>6 - 2073</t>
  </si>
  <si>
    <t>7 - 2073</t>
  </si>
  <si>
    <t>8 - 2073</t>
  </si>
  <si>
    <t>9 - 2073</t>
  </si>
  <si>
    <t>10 - 2073</t>
  </si>
  <si>
    <t>11 - 2073</t>
  </si>
  <si>
    <t>12 - 2073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</si>
  <si>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</si>
  <si>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</si>
  <si>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</si>
  <si>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</si>
  <si>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</si>
  <si>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</si>
  <si>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</si>
  <si>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</si>
  <si>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</si>
  <si>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</si>
  <si>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</si>
  <si>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</si>
  <si>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</si>
  <si>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</si>
  <si>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 xml:space="preserve">.       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</si>
  <si>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</si>
  <si>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</si>
  <si>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</si>
  <si>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</si>
  <si>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</si>
  <si>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</si>
  <si>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</si>
  <si>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</si>
  <si>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</si>
  <si>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</si>
  <si>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</si>
  <si>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</si>
  <si>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</si>
  <si>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</si>
  <si>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</si>
  <si>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</si>
  <si>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</si>
  <si>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</si>
  <si>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</si>
  <si>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</si>
  <si>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</si>
  <si>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</si>
  <si>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</si>
  <si>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</si>
  <si>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</si>
  <si>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</si>
  <si>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</si>
  <si>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</si>
  <si>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</si>
  <si>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</si>
  <si>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</si>
  <si>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</si>
  <si>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</si>
  <si>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</si>
  <si>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</si>
  <si>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</si>
  <si>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</si>
  <si>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</si>
  <si>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</si>
  <si>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</si>
  <si>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</si>
  <si>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</si>
  <si>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</si>
  <si>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</si>
  <si>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</si>
  <si>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</si>
  <si>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</si>
  <si>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</si>
  <si>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</si>
  <si>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</t>
  </si>
  <si>
    <t>Banana</t>
  </si>
  <si>
    <t>Rs/Doz</t>
  </si>
  <si>
    <t>Lime</t>
  </si>
  <si>
    <t>Rs/100</t>
  </si>
  <si>
    <t>Pomegranate</t>
  </si>
  <si>
    <t>Mango</t>
  </si>
  <si>
    <t>Grapes</t>
  </si>
  <si>
    <t>Orange</t>
  </si>
  <si>
    <t>Water Melon</t>
  </si>
  <si>
    <t>Sweet Orange</t>
  </si>
  <si>
    <t>Pineapple</t>
  </si>
  <si>
    <t>Rs/1 Pc</t>
  </si>
  <si>
    <t>Cucumber</t>
  </si>
  <si>
    <t>Jack Fruit</t>
  </si>
  <si>
    <t>Lemon</t>
  </si>
  <si>
    <t>Pear</t>
  </si>
  <si>
    <t>Papaya</t>
  </si>
  <si>
    <t>Guava</t>
  </si>
  <si>
    <t>Mombin</t>
  </si>
  <si>
    <t>Litchi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</si>
  <si>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</si>
  <si>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</si>
  <si>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</si>
  <si>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</si>
  <si>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</si>
  <si>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</si>
  <si>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</si>
  <si>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</si>
  <si>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</si>
  <si>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</si>
  <si>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</si>
  <si>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</si>
  <si>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</si>
  <si>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-</t>
  </si>
  <si>
    <t>Turnip</t>
  </si>
  <si>
    <t>Maize</t>
  </si>
  <si>
    <t>Mandarin</t>
  </si>
  <si>
    <t>Sugarcane</t>
  </si>
  <si>
    <t>Other</t>
  </si>
  <si>
    <t>Comodity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</si>
  <si>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</si>
  <si>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</si>
  <si>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</si>
  <si>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</si>
  <si>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</si>
  <si>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</si>
  <si>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</si>
  <si>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</si>
  <si>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>Lalitpur</t>
  </si>
  <si>
    <t>Makwanpur</t>
  </si>
  <si>
    <t>Nawalparasi</t>
  </si>
  <si>
    <t>Nuwakot</t>
  </si>
  <si>
    <t>Parsa</t>
  </si>
  <si>
    <t>Sarlahi</t>
  </si>
  <si>
    <t>Sindhupalchhock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</si>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</sst>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8.0"/>
      <color rgb="FF000000"/>
      <name val="Arial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sz val="10.0"/>
      <color theme="1"/>
      <name val="Ramesh"/>
    </font>
    <font>
      <b/>
      <sz val="10.0"/>
      <color theme="1"/>
      <name val="Arial"/>
    </font>
    <font>
      <sz val="10.0"/>
      <color theme="1"/>
      <name val="DCC"/>
    </font>
    <font>
      <b/>
      <sz val="10.0"/>
      <color theme="1"/>
      <name val="Ramesh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quotePrefix="1" borderId="7" fillId="3" fontId="11" numFmtId="0" xfId="0" applyAlignment="1" applyBorder="1" applyFill="1" applyFont="1">
      <alignment horizontal="left"/>
    </xf>
    <xf borderId="7" fillId="0" fontId="12" numFmtId="0" xfId="0" applyAlignment="1" applyBorder="1" applyFont="1">
      <alignment horizontal="center"/>
    </xf>
    <xf borderId="7" fillId="0" fontId="13" numFmtId="2" xfId="0" applyAlignment="1" applyBorder="1" applyFont="1" applyNumberFormat="1">
      <alignment horizontal="center"/>
    </xf>
    <xf borderId="8" fillId="0" fontId="13" numFmtId="2" xfId="0" applyAlignment="1" applyBorder="1" applyFont="1" applyNumberFormat="1">
      <alignment horizontal="center"/>
    </xf>
    <xf borderId="5" fillId="0" fontId="14" numFmtId="2" xfId="0" applyAlignment="1" applyBorder="1" applyFont="1" applyNumberFormat="1">
      <alignment horizontal="center"/>
    </xf>
    <xf borderId="7" fillId="3" fontId="11" numFmtId="0" xfId="0" applyBorder="1" applyFont="1"/>
    <xf borderId="7" fillId="4" fontId="11" numFmtId="0" xfId="0" applyBorder="1" applyFill="1" applyFont="1"/>
    <xf borderId="7" fillId="4" fontId="12" numFmtId="0" xfId="0" applyAlignment="1" applyBorder="1" applyFont="1">
      <alignment horizontal="center"/>
    </xf>
    <xf borderId="7" fillId="4" fontId="13" numFmtId="2" xfId="0" applyAlignment="1" applyBorder="1" applyFont="1" applyNumberFormat="1">
      <alignment horizontal="center"/>
    </xf>
    <xf borderId="8" fillId="4" fontId="13" numFmtId="2" xfId="0" applyAlignment="1" applyBorder="1" applyFont="1" applyNumberFormat="1">
      <alignment horizontal="center"/>
    </xf>
    <xf borderId="9" fillId="4" fontId="14" numFmtId="2" xfId="0" applyAlignment="1" applyBorder="1" applyFont="1" applyNumberFormat="1">
      <alignment horizontal="center"/>
    </xf>
    <xf borderId="7" fillId="3" fontId="11" numFmtId="0" xfId="0" applyAlignment="1" applyBorder="1" applyFont="1">
      <alignment horizontal="left"/>
    </xf>
    <xf borderId="7" fillId="0" fontId="15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Border="1" applyFont="1"/>
    <xf borderId="7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7" fillId="4" fontId="12" numFmtId="0" xfId="0" applyBorder="1" applyFont="1"/>
    <xf borderId="7" fillId="4" fontId="13" numFmtId="0" xfId="0" applyAlignment="1" applyBorder="1" applyFont="1">
      <alignment horizontal="center"/>
    </xf>
    <xf borderId="11" fillId="4" fontId="12" numFmtId="0" xfId="0" applyBorder="1" applyFont="1"/>
    <xf borderId="7" fillId="0" fontId="13" numFmtId="0" xfId="0" applyBorder="1" applyFont="1"/>
    <xf borderId="7" fillId="0" fontId="14" numFmtId="0" xfId="0" applyAlignment="1" applyBorder="1" applyFont="1">
      <alignment horizontal="center"/>
    </xf>
    <xf borderId="7" fillId="0" fontId="14" numFmtId="1" xfId="0" applyAlignment="1" applyBorder="1" applyFont="1" applyNumberFormat="1">
      <alignment horizontal="center"/>
    </xf>
    <xf borderId="0" fillId="0" fontId="16" numFmtId="0" xfId="0" applyFont="1"/>
    <xf borderId="7" fillId="0" fontId="17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7" fillId="0" fontId="18" numFmtId="1" xfId="0" applyBorder="1" applyFont="1" applyNumberFormat="1"/>
    <xf borderId="7" fillId="0" fontId="16" numFmtId="1" xfId="0" applyBorder="1" applyFont="1" applyNumberFormat="1"/>
    <xf borderId="7" fillId="4" fontId="16" numFmtId="1" xfId="0" applyBorder="1" applyFont="1" applyNumberFormat="1"/>
    <xf borderId="7" fillId="0" fontId="19" numFmtId="1" xfId="0" applyBorder="1" applyFont="1" applyNumberFormat="1"/>
    <xf borderId="7" fillId="0" fontId="16" numFmtId="2" xfId="0" applyBorder="1" applyFont="1" applyNumberFormat="1"/>
    <xf borderId="7" fillId="4" fontId="18" numFmtId="1" xfId="0" applyBorder="1" applyFont="1" applyNumberFormat="1"/>
    <xf borderId="0" fillId="0" fontId="12" numFmtId="0" xfId="0" applyFont="1"/>
    <xf borderId="7" fillId="4" fontId="19" numFmtId="1" xfId="0" applyBorder="1" applyFont="1" applyNumberFormat="1"/>
    <xf borderId="7" fillId="4" fontId="16" numFmtId="2" xfId="0" applyBorder="1" applyFont="1" applyNumberFormat="1"/>
    <xf borderId="0" fillId="0" fontId="12" numFmtId="1" xfId="0" applyFont="1" applyNumberFormat="1"/>
    <xf borderId="11" fillId="4" fontId="1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0"/>
    <col customWidth="1" min="2" max="2" width="7.88"/>
    <col customWidth="1" min="3" max="4" width="8.13"/>
    <col customWidth="1" min="5" max="5" width="7.88"/>
    <col customWidth="1" min="6" max="7" width="8.13"/>
    <col customWidth="1" min="8" max="8" width="8.0"/>
    <col customWidth="1" min="9" max="9" width="8.25"/>
    <col customWidth="1" min="10" max="10" width="8.0"/>
    <col customWidth="1" min="11" max="11" width="7.75"/>
    <col customWidth="1" min="12" max="12" width="8.25"/>
    <col customWidth="1" min="13" max="13" width="8.13"/>
    <col customWidth="1" min="14" max="14" width="7.88"/>
    <col customWidth="1" min="15" max="15" width="8.25"/>
    <col customWidth="1" min="16" max="16" width="8.13"/>
    <col customWidth="1" min="17" max="17" width="7.75"/>
    <col customWidth="1" min="18" max="19" width="8.25"/>
    <col customWidth="1" min="20" max="20" width="7.75"/>
    <col customWidth="1" min="21" max="21" width="8.25"/>
    <col customWidth="1" min="22" max="22" width="8.13"/>
    <col customWidth="1" min="23" max="23" width="7.88"/>
    <col customWidth="1" min="24" max="24" width="8.25"/>
    <col customWidth="1" min="25" max="25" width="8.13"/>
    <col customWidth="1" min="26" max="26" width="7.75"/>
    <col customWidth="1" min="27" max="27" width="8.25"/>
    <col customWidth="1" min="28" max="29" width="8.0"/>
    <col customWidth="1" min="30" max="30" width="8.25"/>
    <col customWidth="1" min="31" max="31" width="8.13"/>
    <col customWidth="1" min="32" max="32" width="8.0"/>
    <col customWidth="1" min="33" max="33" width="8.25"/>
    <col customWidth="1" min="34" max="34" width="8.0"/>
    <col customWidth="1" min="35" max="36" width="8.25"/>
    <col customWidth="1" min="37" max="37" width="8.13"/>
    <col customWidth="1" min="38" max="38" width="8.0"/>
    <col customWidth="1" min="39" max="39" width="8.88"/>
    <col customWidth="1" min="40" max="40" width="9.0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25.0</v>
      </c>
      <c r="D4" s="16">
        <v>60.0</v>
      </c>
      <c r="E4" s="16">
        <v>40.05</v>
      </c>
      <c r="F4" s="16">
        <v>35.0</v>
      </c>
      <c r="G4" s="16">
        <v>75.0</v>
      </c>
      <c r="H4" s="16">
        <v>55.21</v>
      </c>
      <c r="I4" s="16">
        <v>40.0</v>
      </c>
      <c r="J4" s="16">
        <v>100.0</v>
      </c>
      <c r="K4" s="16">
        <v>72.74</v>
      </c>
      <c r="L4" s="16">
        <v>45.0</v>
      </c>
      <c r="M4" s="16">
        <v>85.0</v>
      </c>
      <c r="N4" s="16">
        <v>62.29</v>
      </c>
      <c r="O4" s="16">
        <v>30.0</v>
      </c>
      <c r="P4" s="16">
        <v>60.0</v>
      </c>
      <c r="Q4" s="16">
        <v>44.35</v>
      </c>
      <c r="R4" s="16">
        <v>35.0</v>
      </c>
      <c r="S4" s="16">
        <v>60.0</v>
      </c>
      <c r="T4" s="16">
        <v>45.07</v>
      </c>
      <c r="U4" s="16">
        <v>30.0</v>
      </c>
      <c r="V4" s="16">
        <v>60.0</v>
      </c>
      <c r="W4" s="16">
        <v>41.9</v>
      </c>
      <c r="X4" s="16">
        <v>30.0</v>
      </c>
      <c r="Y4" s="16">
        <v>45.0</v>
      </c>
      <c r="Z4" s="16">
        <v>38.15</v>
      </c>
      <c r="AA4" s="16">
        <v>20.0</v>
      </c>
      <c r="AB4" s="16">
        <v>40.0</v>
      </c>
      <c r="AC4" s="16">
        <v>30.08</v>
      </c>
      <c r="AD4" s="16">
        <v>20.0</v>
      </c>
      <c r="AE4" s="16">
        <v>40.0</v>
      </c>
      <c r="AF4" s="16">
        <v>30.84</v>
      </c>
      <c r="AG4" s="16">
        <v>20.0</v>
      </c>
      <c r="AH4" s="16">
        <v>35.0</v>
      </c>
      <c r="AI4" s="16">
        <v>27.6</v>
      </c>
      <c r="AJ4" s="16">
        <v>25.0</v>
      </c>
      <c r="AK4" s="16">
        <v>35.0</v>
      </c>
      <c r="AL4" s="17">
        <v>28.38</v>
      </c>
      <c r="AM4" s="18">
        <f t="shared" ref="AM4:AM90" si="1">MIN(AJ4,AG4,AD4,AA4,X4,U4,R4,O4,L4,I4,F4,C4)</f>
        <v>20</v>
      </c>
      <c r="AN4" s="18">
        <f t="shared" ref="AN4:AN90" si="2">MAX(AK4,AH4,AE4,AB4,Y4,V4,S4,P4,M4,J4,G4,D4)</f>
        <v>100</v>
      </c>
      <c r="AO4" s="18">
        <f t="shared" ref="AO4:AO90" si="3">AVERAGE(AL4,AI4,AF4,AC4,Z4,W4,T4,Q4,N4,K4,H4,E4)</f>
        <v>43.055</v>
      </c>
    </row>
    <row r="5" ht="12.75" customHeight="1">
      <c r="A5" s="19" t="s">
        <v>20</v>
      </c>
      <c r="B5" s="15" t="s">
        <v>19</v>
      </c>
      <c r="C5" s="16">
        <v>15.0</v>
      </c>
      <c r="D5" s="16">
        <v>70.0</v>
      </c>
      <c r="E5" s="16">
        <v>39.56</v>
      </c>
      <c r="F5" s="16">
        <v>35.0</v>
      </c>
      <c r="G5" s="16">
        <v>80.0</v>
      </c>
      <c r="H5" s="16">
        <v>59.08</v>
      </c>
      <c r="I5" s="16">
        <v>25.0</v>
      </c>
      <c r="J5" s="16">
        <v>80.0</v>
      </c>
      <c r="K5" s="16">
        <v>56.9</v>
      </c>
      <c r="L5" s="16">
        <v>45.0</v>
      </c>
      <c r="M5" s="16">
        <v>90.0</v>
      </c>
      <c r="N5" s="16">
        <v>65.96</v>
      </c>
      <c r="O5" s="16">
        <v>35.0</v>
      </c>
      <c r="P5" s="16">
        <v>80.0</v>
      </c>
      <c r="Q5" s="16">
        <v>48.61</v>
      </c>
      <c r="R5" s="16">
        <v>40.0</v>
      </c>
      <c r="S5" s="16">
        <v>90.0</v>
      </c>
      <c r="T5" s="16">
        <v>57.96</v>
      </c>
      <c r="U5" s="16">
        <v>30.0</v>
      </c>
      <c r="V5" s="16">
        <v>80.0</v>
      </c>
      <c r="W5" s="16">
        <v>47.34</v>
      </c>
      <c r="X5" s="16">
        <v>25.0</v>
      </c>
      <c r="Y5" s="16">
        <v>40.0</v>
      </c>
      <c r="Z5" s="16">
        <v>32.91</v>
      </c>
      <c r="AA5" s="16">
        <v>20.0</v>
      </c>
      <c r="AB5" s="16">
        <v>40.0</v>
      </c>
      <c r="AC5" s="16">
        <v>27.69</v>
      </c>
      <c r="AD5" s="16">
        <v>10.0</v>
      </c>
      <c r="AE5" s="16">
        <v>30.0</v>
      </c>
      <c r="AF5" s="16">
        <v>21.22</v>
      </c>
      <c r="AG5" s="16">
        <v>15.0</v>
      </c>
      <c r="AH5" s="16">
        <v>35.0</v>
      </c>
      <c r="AI5" s="16">
        <v>21.4</v>
      </c>
      <c r="AJ5" s="16">
        <v>20.0</v>
      </c>
      <c r="AK5" s="16">
        <v>40.0</v>
      </c>
      <c r="AL5" s="17">
        <v>30.14</v>
      </c>
      <c r="AM5" s="18">
        <f t="shared" si="1"/>
        <v>10</v>
      </c>
      <c r="AN5" s="18">
        <f t="shared" si="2"/>
        <v>90</v>
      </c>
      <c r="AO5" s="18">
        <f t="shared" si="3"/>
        <v>42.3975</v>
      </c>
    </row>
    <row r="6" ht="12.75" customHeight="1">
      <c r="A6" s="14" t="s">
        <v>21</v>
      </c>
      <c r="B6" s="15" t="s">
        <v>19</v>
      </c>
      <c r="C6" s="16">
        <v>20.0</v>
      </c>
      <c r="D6" s="16">
        <v>40.0</v>
      </c>
      <c r="E6" s="16">
        <v>28.78</v>
      </c>
      <c r="F6" s="16">
        <v>30.0</v>
      </c>
      <c r="G6" s="16">
        <v>45.0</v>
      </c>
      <c r="H6" s="16">
        <v>35.36</v>
      </c>
      <c r="I6" s="16">
        <v>30.0</v>
      </c>
      <c r="J6" s="16">
        <v>45.0</v>
      </c>
      <c r="K6" s="16">
        <v>36.63</v>
      </c>
      <c r="L6" s="16">
        <v>34.0</v>
      </c>
      <c r="M6" s="16">
        <v>70.0</v>
      </c>
      <c r="N6" s="16">
        <v>38.94</v>
      </c>
      <c r="O6" s="16">
        <v>35.0</v>
      </c>
      <c r="P6" s="16">
        <v>46.0</v>
      </c>
      <c r="Q6" s="16">
        <v>39.17</v>
      </c>
      <c r="R6" s="16">
        <v>35.0</v>
      </c>
      <c r="S6" s="16">
        <v>40.0</v>
      </c>
      <c r="T6" s="16">
        <v>36.7</v>
      </c>
      <c r="U6" s="16">
        <v>35.0</v>
      </c>
      <c r="V6" s="16">
        <v>60.0</v>
      </c>
      <c r="W6" s="16">
        <v>41.84</v>
      </c>
      <c r="X6" s="16">
        <v>28.0</v>
      </c>
      <c r="Y6" s="16">
        <v>40.0</v>
      </c>
      <c r="Z6" s="16">
        <v>34.29</v>
      </c>
      <c r="AA6" s="16">
        <v>24.0</v>
      </c>
      <c r="AB6" s="16">
        <v>33.0</v>
      </c>
      <c r="AC6" s="16">
        <v>28.48</v>
      </c>
      <c r="AD6" s="16">
        <v>20.0</v>
      </c>
      <c r="AE6" s="16">
        <v>26.0</v>
      </c>
      <c r="AF6" s="16">
        <v>22.65</v>
      </c>
      <c r="AG6" s="16">
        <v>16.0</v>
      </c>
      <c r="AH6" s="16">
        <v>22.0</v>
      </c>
      <c r="AI6" s="16">
        <v>19.15</v>
      </c>
      <c r="AJ6" s="16">
        <v>14.0</v>
      </c>
      <c r="AK6" s="16">
        <v>20.0</v>
      </c>
      <c r="AL6" s="17">
        <v>16.41</v>
      </c>
      <c r="AM6" s="18">
        <f t="shared" si="1"/>
        <v>14</v>
      </c>
      <c r="AN6" s="18">
        <f t="shared" si="2"/>
        <v>70</v>
      </c>
      <c r="AO6" s="18">
        <f t="shared" si="3"/>
        <v>31.53333333</v>
      </c>
    </row>
    <row r="7" ht="12.75" customHeight="1">
      <c r="A7" s="19" t="s">
        <v>22</v>
      </c>
      <c r="B7" s="15" t="s">
        <v>19</v>
      </c>
      <c r="C7" s="16">
        <v>18.0</v>
      </c>
      <c r="D7" s="16">
        <v>35.0</v>
      </c>
      <c r="E7" s="16">
        <v>23.46</v>
      </c>
      <c r="F7" s="16">
        <v>24.0</v>
      </c>
      <c r="G7" s="16">
        <v>35.0</v>
      </c>
      <c r="H7" s="16">
        <v>31.82</v>
      </c>
      <c r="I7" s="16">
        <v>30.0</v>
      </c>
      <c r="J7" s="16">
        <v>40.0</v>
      </c>
      <c r="K7" s="16">
        <v>33.5</v>
      </c>
      <c r="L7" s="16">
        <v>30.0</v>
      </c>
      <c r="M7" s="16">
        <v>40.0</v>
      </c>
      <c r="N7" s="16">
        <v>33.28</v>
      </c>
      <c r="O7" s="16">
        <v>30.0</v>
      </c>
      <c r="P7" s="16">
        <v>35.0</v>
      </c>
      <c r="Q7" s="16">
        <v>32.72</v>
      </c>
      <c r="R7" s="16">
        <v>30.0</v>
      </c>
      <c r="S7" s="16">
        <v>35.0</v>
      </c>
      <c r="T7" s="16">
        <v>32.7</v>
      </c>
      <c r="U7" s="16">
        <v>30.0</v>
      </c>
      <c r="V7" s="16">
        <v>40.0</v>
      </c>
      <c r="W7" s="16">
        <v>33.74</v>
      </c>
      <c r="X7" s="16">
        <v>20.0</v>
      </c>
      <c r="Y7" s="16">
        <v>35.0</v>
      </c>
      <c r="Z7" s="16">
        <v>28.88</v>
      </c>
      <c r="AA7" s="16">
        <v>18.0</v>
      </c>
      <c r="AB7" s="16">
        <v>25.0</v>
      </c>
      <c r="AC7" s="16">
        <v>20.57</v>
      </c>
      <c r="AD7" s="16">
        <v>15.0</v>
      </c>
      <c r="AE7" s="16">
        <v>20.0</v>
      </c>
      <c r="AF7" s="16">
        <v>17.28</v>
      </c>
      <c r="AG7" s="16">
        <v>12.0</v>
      </c>
      <c r="AH7" s="16">
        <v>17.0</v>
      </c>
      <c r="AI7" s="16">
        <v>13.83</v>
      </c>
      <c r="AJ7" s="16">
        <v>12.0</v>
      </c>
      <c r="AK7" s="16">
        <v>15.0</v>
      </c>
      <c r="AL7" s="17">
        <v>13.6</v>
      </c>
      <c r="AM7" s="18">
        <f t="shared" si="1"/>
        <v>12</v>
      </c>
      <c r="AN7" s="18">
        <f t="shared" si="2"/>
        <v>40</v>
      </c>
      <c r="AO7" s="18">
        <f t="shared" si="3"/>
        <v>26.28166667</v>
      </c>
    </row>
    <row r="8" ht="12.75" customHeight="1">
      <c r="A8" s="14" t="s">
        <v>23</v>
      </c>
      <c r="B8" s="15" t="s">
        <v>19</v>
      </c>
      <c r="C8" s="16">
        <v>20.0</v>
      </c>
      <c r="D8" s="16">
        <v>30.0</v>
      </c>
      <c r="E8" s="16">
        <v>24.88</v>
      </c>
      <c r="F8" s="16">
        <v>20.0</v>
      </c>
      <c r="G8" s="16">
        <v>26.0</v>
      </c>
      <c r="H8" s="16">
        <v>21.98</v>
      </c>
      <c r="I8" s="16">
        <v>20.0</v>
      </c>
      <c r="J8" s="16">
        <v>30.0</v>
      </c>
      <c r="K8" s="16">
        <v>24.05</v>
      </c>
      <c r="L8" s="16">
        <v>25.0</v>
      </c>
      <c r="M8" s="16">
        <v>30.0</v>
      </c>
      <c r="N8" s="16">
        <v>26.53</v>
      </c>
      <c r="O8" s="16">
        <v>20.0</v>
      </c>
      <c r="P8" s="16">
        <v>35.0</v>
      </c>
      <c r="Q8" s="16">
        <v>24.01</v>
      </c>
      <c r="R8" s="16">
        <v>20.0</v>
      </c>
      <c r="S8" s="16">
        <v>23.0</v>
      </c>
      <c r="T8" s="16">
        <v>21.97</v>
      </c>
      <c r="U8" s="16">
        <v>21.0</v>
      </c>
      <c r="V8" s="16">
        <v>28.0</v>
      </c>
      <c r="W8" s="16">
        <v>23.53</v>
      </c>
      <c r="X8" s="16">
        <v>24.0</v>
      </c>
      <c r="Y8" s="16">
        <v>30.0</v>
      </c>
      <c r="Z8" s="16">
        <v>27.19</v>
      </c>
      <c r="AA8" s="16">
        <v>24.0</v>
      </c>
      <c r="AB8" s="16">
        <v>30.0</v>
      </c>
      <c r="AC8" s="16">
        <v>25.79</v>
      </c>
      <c r="AD8" s="16">
        <v>22.0</v>
      </c>
      <c r="AE8" s="16">
        <v>26.0</v>
      </c>
      <c r="AF8" s="16">
        <v>24.71</v>
      </c>
      <c r="AG8" s="16">
        <v>22.0</v>
      </c>
      <c r="AH8" s="16">
        <v>26.0</v>
      </c>
      <c r="AI8" s="16">
        <v>23.46</v>
      </c>
      <c r="AJ8" s="16">
        <v>22.0</v>
      </c>
      <c r="AK8" s="16">
        <v>26.0</v>
      </c>
      <c r="AL8" s="17">
        <v>23.74</v>
      </c>
      <c r="AM8" s="18">
        <f t="shared" si="1"/>
        <v>20</v>
      </c>
      <c r="AN8" s="18">
        <f t="shared" si="2"/>
        <v>35</v>
      </c>
      <c r="AO8" s="18">
        <f t="shared" si="3"/>
        <v>24.32</v>
      </c>
    </row>
    <row r="9" ht="12.75" customHeight="1">
      <c r="A9" s="19" t="s">
        <v>24</v>
      </c>
      <c r="B9" s="15" t="s">
        <v>19</v>
      </c>
      <c r="C9" s="16">
        <v>40.0</v>
      </c>
      <c r="D9" s="16">
        <v>80.0</v>
      </c>
      <c r="E9" s="16">
        <v>57.36</v>
      </c>
      <c r="F9" s="16">
        <v>40.0</v>
      </c>
      <c r="G9" s="16">
        <v>80.0</v>
      </c>
      <c r="H9" s="16">
        <v>57.13</v>
      </c>
      <c r="I9" s="16">
        <v>70.0</v>
      </c>
      <c r="J9" s="16">
        <v>120.0</v>
      </c>
      <c r="K9" s="16">
        <v>101.01</v>
      </c>
      <c r="L9" s="16">
        <v>90.0</v>
      </c>
      <c r="M9" s="16">
        <v>120.0</v>
      </c>
      <c r="N9" s="16">
        <v>104.7</v>
      </c>
      <c r="O9" s="16">
        <v>75.0</v>
      </c>
      <c r="P9" s="16">
        <v>140.0</v>
      </c>
      <c r="Q9" s="16">
        <v>102.31</v>
      </c>
      <c r="R9" s="16">
        <v>100.0</v>
      </c>
      <c r="S9" s="16">
        <v>160.0</v>
      </c>
      <c r="T9" s="16">
        <v>146.55</v>
      </c>
      <c r="U9" s="16">
        <v>80.0</v>
      </c>
      <c r="V9" s="16">
        <v>170.0</v>
      </c>
      <c r="W9" s="16">
        <v>117.62</v>
      </c>
      <c r="X9" s="16">
        <v>26.0</v>
      </c>
      <c r="Y9" s="16">
        <v>100.0</v>
      </c>
      <c r="Z9" s="16">
        <v>73.73</v>
      </c>
      <c r="AA9" s="16">
        <v>45.0</v>
      </c>
      <c r="AB9" s="16">
        <v>75.0</v>
      </c>
      <c r="AC9" s="16">
        <v>59.71</v>
      </c>
      <c r="AD9" s="16">
        <v>20.0</v>
      </c>
      <c r="AE9" s="16">
        <v>55.0</v>
      </c>
      <c r="AF9" s="16">
        <v>34.74</v>
      </c>
      <c r="AG9" s="16">
        <v>25.0</v>
      </c>
      <c r="AH9" s="16">
        <v>30.0</v>
      </c>
      <c r="AI9" s="16">
        <v>27.59</v>
      </c>
      <c r="AJ9" s="16">
        <v>24.0</v>
      </c>
      <c r="AK9" s="16">
        <v>35.0</v>
      </c>
      <c r="AL9" s="17">
        <v>29.18</v>
      </c>
      <c r="AM9" s="18">
        <f t="shared" si="1"/>
        <v>20</v>
      </c>
      <c r="AN9" s="18">
        <f t="shared" si="2"/>
        <v>170</v>
      </c>
      <c r="AO9" s="18">
        <f t="shared" si="3"/>
        <v>75.96916667</v>
      </c>
    </row>
    <row r="10" ht="12.75" customHeight="1">
      <c r="A10" s="14" t="s">
        <v>25</v>
      </c>
      <c r="B10" s="15" t="s">
        <v>19</v>
      </c>
      <c r="C10" s="16">
        <v>15.0</v>
      </c>
      <c r="D10" s="16">
        <v>40.0</v>
      </c>
      <c r="E10" s="16">
        <v>28.57</v>
      </c>
      <c r="F10" s="16">
        <v>20.0</v>
      </c>
      <c r="G10" s="16">
        <v>40.0</v>
      </c>
      <c r="H10" s="16">
        <v>28.91</v>
      </c>
      <c r="I10" s="16">
        <v>30.0</v>
      </c>
      <c r="J10" s="16">
        <v>60.0</v>
      </c>
      <c r="K10" s="16">
        <v>39.16</v>
      </c>
      <c r="L10" s="16">
        <v>20.0</v>
      </c>
      <c r="M10" s="16">
        <v>40.0</v>
      </c>
      <c r="N10" s="16">
        <v>29.83</v>
      </c>
      <c r="O10" s="16">
        <v>18.0</v>
      </c>
      <c r="P10" s="16">
        <v>40.0</v>
      </c>
      <c r="Q10" s="16">
        <v>24.63</v>
      </c>
      <c r="R10" s="16">
        <v>20.0</v>
      </c>
      <c r="S10" s="16">
        <v>30.0</v>
      </c>
      <c r="T10" s="16">
        <v>24.46</v>
      </c>
      <c r="U10" s="16">
        <v>25.0</v>
      </c>
      <c r="V10" s="16">
        <v>65.0</v>
      </c>
      <c r="W10" s="16">
        <v>43.89</v>
      </c>
      <c r="X10" s="16">
        <v>20.0</v>
      </c>
      <c r="Y10" s="16">
        <v>50.0</v>
      </c>
      <c r="Z10" s="16">
        <v>31.02</v>
      </c>
      <c r="AA10" s="16">
        <v>15.0</v>
      </c>
      <c r="AB10" s="16">
        <v>30.0</v>
      </c>
      <c r="AC10" s="16">
        <v>21.14</v>
      </c>
      <c r="AD10" s="16">
        <v>10.0</v>
      </c>
      <c r="AE10" s="16">
        <v>25.0</v>
      </c>
      <c r="AF10" s="16">
        <v>17.16</v>
      </c>
      <c r="AG10" s="16">
        <v>10.0</v>
      </c>
      <c r="AH10" s="16">
        <v>22.0</v>
      </c>
      <c r="AI10" s="16">
        <v>13.5</v>
      </c>
      <c r="AJ10" s="16">
        <v>8.0</v>
      </c>
      <c r="AK10" s="16">
        <v>20.0</v>
      </c>
      <c r="AL10" s="17">
        <v>12.83</v>
      </c>
      <c r="AM10" s="18">
        <f t="shared" si="1"/>
        <v>8</v>
      </c>
      <c r="AN10" s="18">
        <f t="shared" si="2"/>
        <v>65</v>
      </c>
      <c r="AO10" s="18">
        <f t="shared" si="3"/>
        <v>26.25833333</v>
      </c>
    </row>
    <row r="11" ht="12.75" customHeight="1">
      <c r="A11" s="14" t="s">
        <v>26</v>
      </c>
      <c r="B11" s="15" t="s">
        <v>19</v>
      </c>
      <c r="C11" s="16">
        <v>40.0</v>
      </c>
      <c r="D11" s="16">
        <v>80.0</v>
      </c>
      <c r="E11" s="16">
        <v>61.75</v>
      </c>
      <c r="F11" s="16">
        <v>40.0</v>
      </c>
      <c r="G11" s="16">
        <v>80.0</v>
      </c>
      <c r="H11" s="16">
        <v>58.63</v>
      </c>
      <c r="I11" s="16">
        <v>15.0</v>
      </c>
      <c r="J11" s="16">
        <v>80.0</v>
      </c>
      <c r="K11" s="16">
        <v>42.93</v>
      </c>
      <c r="L11" s="16">
        <v>50.0</v>
      </c>
      <c r="M11" s="16">
        <v>80.0</v>
      </c>
      <c r="N11" s="16">
        <v>58.63</v>
      </c>
      <c r="O11" s="16">
        <v>45.0</v>
      </c>
      <c r="P11" s="16">
        <v>120.0</v>
      </c>
      <c r="Q11" s="16">
        <v>65.38</v>
      </c>
      <c r="R11" s="16">
        <v>50.0</v>
      </c>
      <c r="S11" s="16">
        <v>110.0</v>
      </c>
      <c r="T11" s="16">
        <v>77.25</v>
      </c>
      <c r="U11" s="16">
        <v>50.0</v>
      </c>
      <c r="V11" s="16">
        <v>140.0</v>
      </c>
      <c r="W11" s="16">
        <v>77.89</v>
      </c>
      <c r="X11" s="16">
        <v>25.0</v>
      </c>
      <c r="Y11" s="16">
        <v>80.0</v>
      </c>
      <c r="Z11" s="16">
        <v>45.87</v>
      </c>
      <c r="AA11" s="16">
        <v>15.0</v>
      </c>
      <c r="AB11" s="16">
        <v>45.0</v>
      </c>
      <c r="AC11" s="16">
        <v>26.11</v>
      </c>
      <c r="AD11" s="16">
        <v>15.0</v>
      </c>
      <c r="AE11" s="16">
        <v>45.0</v>
      </c>
      <c r="AF11" s="16">
        <v>28.08</v>
      </c>
      <c r="AG11" s="16">
        <v>10.0</v>
      </c>
      <c r="AH11" s="16">
        <v>35.0</v>
      </c>
      <c r="AI11" s="16">
        <v>17.96</v>
      </c>
      <c r="AJ11" s="16">
        <v>15.0</v>
      </c>
      <c r="AK11" s="16">
        <v>35.0</v>
      </c>
      <c r="AL11" s="17">
        <v>22.83</v>
      </c>
      <c r="AM11" s="18">
        <f t="shared" si="1"/>
        <v>10</v>
      </c>
      <c r="AN11" s="18">
        <f t="shared" si="2"/>
        <v>140</v>
      </c>
      <c r="AO11" s="18">
        <f t="shared" si="3"/>
        <v>48.60916667</v>
      </c>
    </row>
    <row r="12" ht="12.75" customHeight="1">
      <c r="A12" s="19" t="s">
        <v>27</v>
      </c>
      <c r="B12" s="15" t="s">
        <v>19</v>
      </c>
      <c r="C12" s="16" t="s">
        <v>28</v>
      </c>
      <c r="D12" s="16" t="s">
        <v>28</v>
      </c>
      <c r="E12" s="16" t="s">
        <v>28</v>
      </c>
      <c r="F12" s="16" t="s">
        <v>28</v>
      </c>
      <c r="G12" s="16" t="s">
        <v>28</v>
      </c>
      <c r="H12" s="16" t="s">
        <v>28</v>
      </c>
      <c r="I12" s="16" t="s">
        <v>28</v>
      </c>
      <c r="J12" s="16" t="s">
        <v>28</v>
      </c>
      <c r="K12" s="16" t="s">
        <v>28</v>
      </c>
      <c r="L12" s="16" t="s">
        <v>28</v>
      </c>
      <c r="M12" s="16" t="s">
        <v>28</v>
      </c>
      <c r="N12" s="16" t="s">
        <v>28</v>
      </c>
      <c r="O12" s="16" t="s">
        <v>28</v>
      </c>
      <c r="P12" s="16" t="s">
        <v>28</v>
      </c>
      <c r="Q12" s="16" t="s">
        <v>28</v>
      </c>
      <c r="R12" s="16" t="s">
        <v>28</v>
      </c>
      <c r="S12" s="16" t="s">
        <v>28</v>
      </c>
      <c r="T12" s="16" t="s">
        <v>28</v>
      </c>
      <c r="U12" s="16" t="s">
        <v>28</v>
      </c>
      <c r="V12" s="16" t="s">
        <v>28</v>
      </c>
      <c r="W12" s="16" t="s">
        <v>28</v>
      </c>
      <c r="X12" s="16">
        <v>20.0</v>
      </c>
      <c r="Y12" s="16">
        <v>50.0</v>
      </c>
      <c r="Z12" s="16">
        <v>29.85</v>
      </c>
      <c r="AA12" s="16">
        <v>10.0</v>
      </c>
      <c r="AB12" s="16">
        <v>38.0</v>
      </c>
      <c r="AC12" s="16">
        <v>18.98</v>
      </c>
      <c r="AD12" s="16">
        <v>10.0</v>
      </c>
      <c r="AE12" s="16">
        <v>35.0</v>
      </c>
      <c r="AF12" s="16">
        <v>19.7</v>
      </c>
      <c r="AG12" s="16">
        <v>10.0</v>
      </c>
      <c r="AH12" s="16">
        <v>25.0</v>
      </c>
      <c r="AI12" s="16">
        <v>12.43</v>
      </c>
      <c r="AJ12" s="16">
        <v>10.0</v>
      </c>
      <c r="AK12" s="16">
        <v>25.0</v>
      </c>
      <c r="AL12" s="17">
        <v>17.55</v>
      </c>
      <c r="AM12" s="18">
        <f t="shared" si="1"/>
        <v>10</v>
      </c>
      <c r="AN12" s="18">
        <f t="shared" si="2"/>
        <v>50</v>
      </c>
      <c r="AO12" s="18">
        <f t="shared" si="3"/>
        <v>19.702</v>
      </c>
    </row>
    <row r="13" ht="12.75" customHeight="1">
      <c r="A13" s="19" t="s">
        <v>29</v>
      </c>
      <c r="B13" s="15" t="s">
        <v>19</v>
      </c>
      <c r="C13" s="16" t="s">
        <v>28</v>
      </c>
      <c r="D13" s="16" t="s">
        <v>28</v>
      </c>
      <c r="E13" s="16" t="s">
        <v>28</v>
      </c>
      <c r="F13" s="16" t="s">
        <v>28</v>
      </c>
      <c r="G13" s="16" t="s">
        <v>28</v>
      </c>
      <c r="H13" s="16" t="s">
        <v>28</v>
      </c>
      <c r="I13" s="16" t="s">
        <v>28</v>
      </c>
      <c r="J13" s="16" t="s">
        <v>28</v>
      </c>
      <c r="K13" s="16" t="s">
        <v>28</v>
      </c>
      <c r="L13" s="16" t="s">
        <v>28</v>
      </c>
      <c r="M13" s="16" t="s">
        <v>28</v>
      </c>
      <c r="N13" s="16" t="s">
        <v>28</v>
      </c>
      <c r="O13" s="16" t="s">
        <v>28</v>
      </c>
      <c r="P13" s="16" t="s">
        <v>28</v>
      </c>
      <c r="Q13" s="16" t="s">
        <v>28</v>
      </c>
      <c r="R13" s="16" t="s">
        <v>28</v>
      </c>
      <c r="S13" s="16" t="s">
        <v>28</v>
      </c>
      <c r="T13" s="16" t="s">
        <v>28</v>
      </c>
      <c r="U13" s="16" t="s">
        <v>28</v>
      </c>
      <c r="V13" s="16" t="s">
        <v>28</v>
      </c>
      <c r="W13" s="16" t="s">
        <v>28</v>
      </c>
      <c r="X13" s="16">
        <v>25.0</v>
      </c>
      <c r="Y13" s="16">
        <v>40.0</v>
      </c>
      <c r="Z13" s="16">
        <v>29.56</v>
      </c>
      <c r="AA13" s="16">
        <v>15.0</v>
      </c>
      <c r="AB13" s="16">
        <v>30.0</v>
      </c>
      <c r="AC13" s="16">
        <v>21.96</v>
      </c>
      <c r="AD13" s="16">
        <v>10.0</v>
      </c>
      <c r="AE13" s="16">
        <v>20.0</v>
      </c>
      <c r="AF13" s="16">
        <v>15.5</v>
      </c>
      <c r="AG13" s="16">
        <v>10.0</v>
      </c>
      <c r="AH13" s="16">
        <v>40.0</v>
      </c>
      <c r="AI13" s="16">
        <v>25.25</v>
      </c>
      <c r="AJ13" s="16">
        <v>20.0</v>
      </c>
      <c r="AK13" s="16">
        <v>40.0</v>
      </c>
      <c r="AL13" s="17">
        <v>32.57</v>
      </c>
      <c r="AM13" s="18">
        <f t="shared" si="1"/>
        <v>10</v>
      </c>
      <c r="AN13" s="18">
        <f t="shared" si="2"/>
        <v>40</v>
      </c>
      <c r="AO13" s="18">
        <f t="shared" si="3"/>
        <v>24.968</v>
      </c>
    </row>
    <row r="14" ht="12.75" customHeight="1">
      <c r="A14" s="20" t="s">
        <v>30</v>
      </c>
      <c r="B14" s="21" t="s">
        <v>19</v>
      </c>
      <c r="C14" s="22">
        <v>40.0</v>
      </c>
      <c r="D14" s="22">
        <v>80.0</v>
      </c>
      <c r="E14" s="22">
        <v>61.11</v>
      </c>
      <c r="F14" s="22">
        <v>25.0</v>
      </c>
      <c r="G14" s="22">
        <v>60.0</v>
      </c>
      <c r="H14" s="22">
        <v>43.82</v>
      </c>
      <c r="I14" s="22">
        <v>15.0</v>
      </c>
      <c r="J14" s="22">
        <v>45.0</v>
      </c>
      <c r="K14" s="22">
        <v>28.87</v>
      </c>
      <c r="L14" s="22">
        <v>18.0</v>
      </c>
      <c r="M14" s="22">
        <v>38.0</v>
      </c>
      <c r="N14" s="22">
        <v>20.98</v>
      </c>
      <c r="O14" s="22">
        <v>18.0</v>
      </c>
      <c r="P14" s="22">
        <v>56.0</v>
      </c>
      <c r="Q14" s="22">
        <v>37.64</v>
      </c>
      <c r="R14" s="22">
        <v>25.0</v>
      </c>
      <c r="S14" s="22">
        <v>50.0</v>
      </c>
      <c r="T14" s="22">
        <v>37.93</v>
      </c>
      <c r="U14" s="22">
        <v>15.0</v>
      </c>
      <c r="V14" s="22">
        <v>35.0</v>
      </c>
      <c r="W14" s="22">
        <v>29.01</v>
      </c>
      <c r="X14" s="22">
        <v>15.0</v>
      </c>
      <c r="Y14" s="22">
        <v>30.0</v>
      </c>
      <c r="Z14" s="22">
        <v>19.11</v>
      </c>
      <c r="AA14" s="22">
        <v>15.0</v>
      </c>
      <c r="AB14" s="22">
        <v>25.0</v>
      </c>
      <c r="AC14" s="22">
        <v>19.33</v>
      </c>
      <c r="AD14" s="22">
        <v>10.0</v>
      </c>
      <c r="AE14" s="22">
        <v>20.0</v>
      </c>
      <c r="AF14" s="22">
        <v>15.38</v>
      </c>
      <c r="AG14" s="22">
        <v>10.0</v>
      </c>
      <c r="AH14" s="22">
        <v>18.0</v>
      </c>
      <c r="AI14" s="22">
        <v>11.85</v>
      </c>
      <c r="AJ14" s="22">
        <v>8.0</v>
      </c>
      <c r="AK14" s="22">
        <v>20.0</v>
      </c>
      <c r="AL14" s="23">
        <v>13.36</v>
      </c>
      <c r="AM14" s="24">
        <f t="shared" si="1"/>
        <v>8</v>
      </c>
      <c r="AN14" s="24">
        <f t="shared" si="2"/>
        <v>80</v>
      </c>
      <c r="AO14" s="24">
        <f t="shared" si="3"/>
        <v>28.19916667</v>
      </c>
    </row>
    <row r="15" ht="12.75" customHeight="1">
      <c r="A15" s="14" t="s">
        <v>31</v>
      </c>
      <c r="B15" s="15" t="s">
        <v>19</v>
      </c>
      <c r="C15" s="16">
        <v>25.0</v>
      </c>
      <c r="D15" s="16">
        <v>60.0</v>
      </c>
      <c r="E15" s="16">
        <v>45.13</v>
      </c>
      <c r="F15" s="16">
        <v>20.0</v>
      </c>
      <c r="G15" s="16">
        <v>50.0</v>
      </c>
      <c r="H15" s="16">
        <v>33.31</v>
      </c>
      <c r="I15" s="16">
        <v>15.0</v>
      </c>
      <c r="J15" s="16">
        <v>40.0</v>
      </c>
      <c r="K15" s="16">
        <v>24.22</v>
      </c>
      <c r="L15" s="16">
        <v>30.0</v>
      </c>
      <c r="M15" s="16">
        <v>60.0</v>
      </c>
      <c r="N15" s="16">
        <v>44.78</v>
      </c>
      <c r="O15" s="16">
        <v>20.0</v>
      </c>
      <c r="P15" s="16">
        <v>40.0</v>
      </c>
      <c r="Q15" s="16">
        <v>27.61</v>
      </c>
      <c r="R15" s="16">
        <v>30.0</v>
      </c>
      <c r="S15" s="16">
        <v>70.0</v>
      </c>
      <c r="T15" s="16">
        <v>49.05</v>
      </c>
      <c r="U15" s="16">
        <v>30.0</v>
      </c>
      <c r="V15" s="16">
        <v>60.0</v>
      </c>
      <c r="W15" s="16">
        <v>40.67</v>
      </c>
      <c r="X15" s="16">
        <v>30.0</v>
      </c>
      <c r="Y15" s="16">
        <v>40.0</v>
      </c>
      <c r="Z15" s="16">
        <v>34.93</v>
      </c>
      <c r="AA15" s="16">
        <v>25.0</v>
      </c>
      <c r="AB15" s="16">
        <v>40.0</v>
      </c>
      <c r="AC15" s="16">
        <v>32.96</v>
      </c>
      <c r="AD15" s="16">
        <v>30.0</v>
      </c>
      <c r="AE15" s="16">
        <v>50.0</v>
      </c>
      <c r="AF15" s="16">
        <v>36.07</v>
      </c>
      <c r="AG15" s="16">
        <v>25.0</v>
      </c>
      <c r="AH15" s="16">
        <v>40.0</v>
      </c>
      <c r="AI15" s="16">
        <v>32.39</v>
      </c>
      <c r="AJ15" s="16">
        <v>18.0</v>
      </c>
      <c r="AK15" s="16">
        <v>38.0</v>
      </c>
      <c r="AL15" s="17">
        <v>27.87</v>
      </c>
      <c r="AM15" s="18">
        <f t="shared" si="1"/>
        <v>15</v>
      </c>
      <c r="AN15" s="18">
        <f t="shared" si="2"/>
        <v>70</v>
      </c>
      <c r="AO15" s="18">
        <f t="shared" si="3"/>
        <v>35.74916667</v>
      </c>
    </row>
    <row r="16" ht="12.75" customHeight="1">
      <c r="A16" s="19" t="s">
        <v>32</v>
      </c>
      <c r="B16" s="15" t="s">
        <v>19</v>
      </c>
      <c r="C16" s="16">
        <v>30.0</v>
      </c>
      <c r="D16" s="16">
        <v>65.0</v>
      </c>
      <c r="E16" s="16">
        <v>48.63</v>
      </c>
      <c r="F16" s="16">
        <v>20.0</v>
      </c>
      <c r="G16" s="16">
        <v>50.0</v>
      </c>
      <c r="H16" s="16">
        <v>34.63</v>
      </c>
      <c r="I16" s="16">
        <v>15.0</v>
      </c>
      <c r="J16" s="16">
        <v>40.0</v>
      </c>
      <c r="K16" s="16">
        <v>23.71</v>
      </c>
      <c r="L16" s="16">
        <v>35.0</v>
      </c>
      <c r="M16" s="16">
        <v>55.0</v>
      </c>
      <c r="N16" s="16">
        <v>44.62</v>
      </c>
      <c r="O16" s="16">
        <v>20.0</v>
      </c>
      <c r="P16" s="16">
        <v>40.0</v>
      </c>
      <c r="Q16" s="16">
        <v>27.43</v>
      </c>
      <c r="R16" s="16">
        <v>40.0</v>
      </c>
      <c r="S16" s="16">
        <v>55.0</v>
      </c>
      <c r="T16" s="16">
        <v>48.09</v>
      </c>
      <c r="U16" s="16">
        <v>30.0</v>
      </c>
      <c r="V16" s="16">
        <v>60.0</v>
      </c>
      <c r="W16" s="16">
        <v>40.71</v>
      </c>
      <c r="X16" s="16">
        <v>30.0</v>
      </c>
      <c r="Y16" s="16">
        <v>40.0</v>
      </c>
      <c r="Z16" s="16">
        <v>34.28</v>
      </c>
      <c r="AA16" s="16">
        <v>25.0</v>
      </c>
      <c r="AB16" s="16">
        <v>40.0</v>
      </c>
      <c r="AC16" s="16">
        <v>32.72</v>
      </c>
      <c r="AD16" s="16">
        <v>25.0</v>
      </c>
      <c r="AE16" s="16">
        <v>45.0</v>
      </c>
      <c r="AF16" s="16">
        <v>35.28</v>
      </c>
      <c r="AG16" s="16">
        <v>25.0</v>
      </c>
      <c r="AH16" s="16">
        <v>38.0</v>
      </c>
      <c r="AI16" s="16">
        <v>32.63</v>
      </c>
      <c r="AJ16" s="16">
        <v>18.0</v>
      </c>
      <c r="AK16" s="16">
        <v>38.0</v>
      </c>
      <c r="AL16" s="17">
        <v>27.87</v>
      </c>
      <c r="AM16" s="18">
        <f t="shared" si="1"/>
        <v>15</v>
      </c>
      <c r="AN16" s="18">
        <f t="shared" si="2"/>
        <v>65</v>
      </c>
      <c r="AO16" s="18">
        <f t="shared" si="3"/>
        <v>35.88333333</v>
      </c>
    </row>
    <row r="17" ht="12.75" customHeight="1">
      <c r="A17" s="25" t="s">
        <v>33</v>
      </c>
      <c r="B17" s="15" t="s">
        <v>19</v>
      </c>
      <c r="C17" s="16">
        <v>40.0</v>
      </c>
      <c r="D17" s="16">
        <v>110.0</v>
      </c>
      <c r="E17" s="16">
        <v>66.61</v>
      </c>
      <c r="F17" s="16">
        <v>28.0</v>
      </c>
      <c r="G17" s="16">
        <v>60.0</v>
      </c>
      <c r="H17" s="16">
        <v>41.1</v>
      </c>
      <c r="I17" s="16">
        <v>20.0</v>
      </c>
      <c r="J17" s="16">
        <v>60.0</v>
      </c>
      <c r="K17" s="16">
        <v>38.66</v>
      </c>
      <c r="L17" s="16">
        <v>40.0</v>
      </c>
      <c r="M17" s="16">
        <v>80.0</v>
      </c>
      <c r="N17" s="16">
        <v>55.33</v>
      </c>
      <c r="O17" s="16">
        <v>40.0</v>
      </c>
      <c r="P17" s="16">
        <v>100.0</v>
      </c>
      <c r="Q17" s="16">
        <v>64.61</v>
      </c>
      <c r="R17" s="16">
        <v>60.0</v>
      </c>
      <c r="S17" s="16">
        <v>115.0</v>
      </c>
      <c r="T17" s="16">
        <v>92.6</v>
      </c>
      <c r="U17" s="16">
        <v>75.0</v>
      </c>
      <c r="V17" s="16">
        <v>140.0</v>
      </c>
      <c r="W17" s="16">
        <v>103.48</v>
      </c>
      <c r="X17" s="16">
        <v>35.0</v>
      </c>
      <c r="Y17" s="16">
        <v>100.0</v>
      </c>
      <c r="Z17" s="16">
        <v>56.38</v>
      </c>
      <c r="AA17" s="16">
        <v>35.0</v>
      </c>
      <c r="AB17" s="16">
        <v>60.0</v>
      </c>
      <c r="AC17" s="16">
        <v>48.61</v>
      </c>
      <c r="AD17" s="16" t="s">
        <v>28</v>
      </c>
      <c r="AE17" s="16" t="s">
        <v>28</v>
      </c>
      <c r="AF17" s="16" t="s">
        <v>28</v>
      </c>
      <c r="AG17" s="16">
        <v>110.0</v>
      </c>
      <c r="AH17" s="16">
        <v>120.0</v>
      </c>
      <c r="AI17" s="16">
        <v>115.0</v>
      </c>
      <c r="AJ17" s="16">
        <v>35.0</v>
      </c>
      <c r="AK17" s="16">
        <v>140.0</v>
      </c>
      <c r="AL17" s="17">
        <v>74.8</v>
      </c>
      <c r="AM17" s="18">
        <f t="shared" si="1"/>
        <v>20</v>
      </c>
      <c r="AN17" s="18">
        <f t="shared" si="2"/>
        <v>140</v>
      </c>
      <c r="AO17" s="18">
        <f t="shared" si="3"/>
        <v>68.83454545</v>
      </c>
    </row>
    <row r="18" ht="12.75" customHeight="1">
      <c r="A18" s="19" t="s">
        <v>34</v>
      </c>
      <c r="B18" s="15" t="s">
        <v>19</v>
      </c>
      <c r="C18" s="16">
        <v>70.0</v>
      </c>
      <c r="D18" s="16">
        <v>120.0</v>
      </c>
      <c r="E18" s="16">
        <v>94.71</v>
      </c>
      <c r="F18" s="16">
        <v>90.0</v>
      </c>
      <c r="G18" s="16">
        <v>100.0</v>
      </c>
      <c r="H18" s="16">
        <v>94.75</v>
      </c>
      <c r="I18" s="16" t="s">
        <v>28</v>
      </c>
      <c r="J18" s="16" t="s">
        <v>28</v>
      </c>
      <c r="K18" s="16" t="s">
        <v>28</v>
      </c>
      <c r="L18" s="16" t="s">
        <v>28</v>
      </c>
      <c r="M18" s="16" t="s">
        <v>28</v>
      </c>
      <c r="N18" s="16" t="s">
        <v>28</v>
      </c>
      <c r="O18" s="16" t="s">
        <v>28</v>
      </c>
      <c r="P18" s="16" t="s">
        <v>28</v>
      </c>
      <c r="Q18" s="16" t="s">
        <v>28</v>
      </c>
      <c r="R18" s="16">
        <v>150.0</v>
      </c>
      <c r="S18" s="16">
        <v>160.0</v>
      </c>
      <c r="T18" s="16">
        <v>155.0</v>
      </c>
      <c r="U18" s="16">
        <v>90.0</v>
      </c>
      <c r="V18" s="16">
        <v>210.0</v>
      </c>
      <c r="W18" s="16">
        <v>134.52</v>
      </c>
      <c r="X18" s="16">
        <v>75.0</v>
      </c>
      <c r="Y18" s="16">
        <v>110.0</v>
      </c>
      <c r="Z18" s="16">
        <v>93.32</v>
      </c>
      <c r="AA18" s="16">
        <v>25.0</v>
      </c>
      <c r="AB18" s="16">
        <v>90.0</v>
      </c>
      <c r="AC18" s="16">
        <v>40.16</v>
      </c>
      <c r="AD18" s="16">
        <v>30.0</v>
      </c>
      <c r="AE18" s="16">
        <v>55.0</v>
      </c>
      <c r="AF18" s="16">
        <v>39.1</v>
      </c>
      <c r="AG18" s="16">
        <v>40.0</v>
      </c>
      <c r="AH18" s="16">
        <v>60.0</v>
      </c>
      <c r="AI18" s="16">
        <v>46.83</v>
      </c>
      <c r="AJ18" s="16">
        <v>45.0</v>
      </c>
      <c r="AK18" s="16">
        <v>70.0</v>
      </c>
      <c r="AL18" s="17">
        <v>57.66</v>
      </c>
      <c r="AM18" s="18">
        <f t="shared" si="1"/>
        <v>25</v>
      </c>
      <c r="AN18" s="18">
        <f t="shared" si="2"/>
        <v>210</v>
      </c>
      <c r="AO18" s="18">
        <f t="shared" si="3"/>
        <v>84.00555556</v>
      </c>
    </row>
    <row r="19" ht="12.75" customHeight="1">
      <c r="A19" s="14" t="s">
        <v>35</v>
      </c>
      <c r="B19" s="15" t="s">
        <v>19</v>
      </c>
      <c r="C19" s="16">
        <v>70.0</v>
      </c>
      <c r="D19" s="16">
        <v>110.0</v>
      </c>
      <c r="E19" s="16">
        <v>89.98</v>
      </c>
      <c r="F19" s="16">
        <v>28.0</v>
      </c>
      <c r="G19" s="16">
        <v>100.0</v>
      </c>
      <c r="H19" s="16">
        <v>65.85</v>
      </c>
      <c r="I19" s="16">
        <v>20.0</v>
      </c>
      <c r="J19" s="16">
        <v>70.0</v>
      </c>
      <c r="K19" s="16">
        <v>44.45</v>
      </c>
      <c r="L19" s="16">
        <v>35.0</v>
      </c>
      <c r="M19" s="16">
        <v>80.0</v>
      </c>
      <c r="N19" s="16">
        <v>53.13</v>
      </c>
      <c r="O19" s="16">
        <v>35.0</v>
      </c>
      <c r="P19" s="16">
        <v>120.0</v>
      </c>
      <c r="Q19" s="16">
        <v>77.48</v>
      </c>
      <c r="R19" s="16">
        <v>20.0</v>
      </c>
      <c r="S19" s="16">
        <v>140.0</v>
      </c>
      <c r="T19" s="16">
        <v>80.89</v>
      </c>
      <c r="U19" s="16">
        <v>30.0</v>
      </c>
      <c r="V19" s="16">
        <v>65.0</v>
      </c>
      <c r="W19" s="16">
        <v>44.76</v>
      </c>
      <c r="X19" s="16">
        <v>60.0</v>
      </c>
      <c r="Y19" s="16">
        <v>100.0</v>
      </c>
      <c r="Z19" s="16">
        <v>77.22</v>
      </c>
      <c r="AA19" s="16">
        <v>35.0</v>
      </c>
      <c r="AB19" s="16">
        <v>90.0</v>
      </c>
      <c r="AC19" s="16">
        <v>57.4</v>
      </c>
      <c r="AD19" s="16">
        <v>35.0</v>
      </c>
      <c r="AE19" s="16">
        <v>50.0</v>
      </c>
      <c r="AF19" s="16">
        <v>40.93</v>
      </c>
      <c r="AG19" s="16">
        <v>35.0</v>
      </c>
      <c r="AH19" s="16">
        <v>60.0</v>
      </c>
      <c r="AI19" s="16">
        <v>45.22</v>
      </c>
      <c r="AJ19" s="16">
        <v>40.0</v>
      </c>
      <c r="AK19" s="16">
        <v>90.0</v>
      </c>
      <c r="AL19" s="17">
        <v>56.28</v>
      </c>
      <c r="AM19" s="18">
        <f t="shared" si="1"/>
        <v>20</v>
      </c>
      <c r="AN19" s="18">
        <f t="shared" si="2"/>
        <v>140</v>
      </c>
      <c r="AO19" s="18">
        <f t="shared" si="3"/>
        <v>61.1325</v>
      </c>
    </row>
    <row r="20" ht="12.75" customHeight="1">
      <c r="A20" s="14" t="s">
        <v>36</v>
      </c>
      <c r="B20" s="15" t="s">
        <v>19</v>
      </c>
      <c r="C20" s="16">
        <v>50.0</v>
      </c>
      <c r="D20" s="16">
        <v>80.0</v>
      </c>
      <c r="E20" s="16">
        <v>59.41</v>
      </c>
      <c r="F20" s="16" t="s">
        <v>28</v>
      </c>
      <c r="G20" s="16" t="s">
        <v>28</v>
      </c>
      <c r="H20" s="16" t="s">
        <v>28</v>
      </c>
      <c r="I20" s="16" t="s">
        <v>28</v>
      </c>
      <c r="J20" s="16" t="s">
        <v>28</v>
      </c>
      <c r="K20" s="16" t="s">
        <v>28</v>
      </c>
      <c r="L20" s="16" t="s">
        <v>28</v>
      </c>
      <c r="M20" s="16" t="s">
        <v>28</v>
      </c>
      <c r="N20" s="16" t="s">
        <v>28</v>
      </c>
      <c r="O20" s="16" t="s">
        <v>28</v>
      </c>
      <c r="P20" s="16" t="s">
        <v>28</v>
      </c>
      <c r="Q20" s="16" t="s">
        <v>28</v>
      </c>
      <c r="R20" s="16">
        <v>35.0</v>
      </c>
      <c r="S20" s="16">
        <v>120.0</v>
      </c>
      <c r="T20" s="16">
        <v>76.34</v>
      </c>
      <c r="U20" s="16">
        <v>45.0</v>
      </c>
      <c r="V20" s="16">
        <v>100.0</v>
      </c>
      <c r="W20" s="16">
        <v>76.9</v>
      </c>
      <c r="X20" s="16">
        <v>50.0</v>
      </c>
      <c r="Y20" s="16">
        <v>80.0</v>
      </c>
      <c r="Z20" s="16">
        <v>61.87</v>
      </c>
      <c r="AA20" s="16">
        <v>25.0</v>
      </c>
      <c r="AB20" s="16">
        <v>60.0</v>
      </c>
      <c r="AC20" s="16">
        <v>39.69</v>
      </c>
      <c r="AD20" s="16">
        <v>24.0</v>
      </c>
      <c r="AE20" s="16">
        <v>40.0</v>
      </c>
      <c r="AF20" s="16">
        <v>34.48</v>
      </c>
      <c r="AG20" s="16">
        <v>35.0</v>
      </c>
      <c r="AH20" s="16">
        <v>70.0</v>
      </c>
      <c r="AI20" s="16">
        <v>47.37</v>
      </c>
      <c r="AJ20" s="16">
        <v>40.0</v>
      </c>
      <c r="AK20" s="16">
        <v>90.0</v>
      </c>
      <c r="AL20" s="17">
        <v>56.58</v>
      </c>
      <c r="AM20" s="18">
        <f t="shared" si="1"/>
        <v>24</v>
      </c>
      <c r="AN20" s="18">
        <f t="shared" si="2"/>
        <v>120</v>
      </c>
      <c r="AO20" s="18">
        <f t="shared" si="3"/>
        <v>56.58</v>
      </c>
    </row>
    <row r="21" ht="12.75" customHeight="1">
      <c r="A21" s="19" t="s">
        <v>37</v>
      </c>
      <c r="B21" s="15" t="s">
        <v>19</v>
      </c>
      <c r="C21" s="16" t="s">
        <v>28</v>
      </c>
      <c r="D21" s="16" t="s">
        <v>28</v>
      </c>
      <c r="E21" s="16" t="s">
        <v>28</v>
      </c>
      <c r="F21" s="16">
        <v>70.0</v>
      </c>
      <c r="G21" s="16">
        <v>100.0</v>
      </c>
      <c r="H21" s="16">
        <v>92.31</v>
      </c>
      <c r="I21" s="16">
        <v>50.0</v>
      </c>
      <c r="J21" s="16">
        <v>120.0</v>
      </c>
      <c r="K21" s="16">
        <v>77.0</v>
      </c>
      <c r="L21" s="16">
        <v>50.0</v>
      </c>
      <c r="M21" s="16">
        <v>140.0</v>
      </c>
      <c r="N21" s="16">
        <v>93.96</v>
      </c>
      <c r="O21" s="16">
        <v>48.0</v>
      </c>
      <c r="P21" s="16">
        <v>85.0</v>
      </c>
      <c r="Q21" s="16">
        <v>66.99</v>
      </c>
      <c r="R21" s="16">
        <v>40.0</v>
      </c>
      <c r="S21" s="16">
        <v>70.0</v>
      </c>
      <c r="T21" s="16">
        <v>52.57</v>
      </c>
      <c r="U21" s="16">
        <v>50.0</v>
      </c>
      <c r="V21" s="16">
        <v>90.0</v>
      </c>
      <c r="W21" s="16">
        <v>68.02</v>
      </c>
      <c r="X21" s="16" t="s">
        <v>28</v>
      </c>
      <c r="Y21" s="16" t="s">
        <v>28</v>
      </c>
      <c r="Z21" s="16" t="s">
        <v>28</v>
      </c>
      <c r="AA21" s="16" t="s">
        <v>28</v>
      </c>
      <c r="AB21" s="16" t="s">
        <v>28</v>
      </c>
      <c r="AC21" s="16" t="s">
        <v>28</v>
      </c>
      <c r="AD21" s="16" t="s">
        <v>28</v>
      </c>
      <c r="AE21" s="16" t="s">
        <v>28</v>
      </c>
      <c r="AF21" s="16" t="s">
        <v>28</v>
      </c>
      <c r="AG21" s="16" t="s">
        <v>28</v>
      </c>
      <c r="AH21" s="16" t="s">
        <v>28</v>
      </c>
      <c r="AI21" s="16" t="s">
        <v>28</v>
      </c>
      <c r="AJ21" s="16" t="s">
        <v>28</v>
      </c>
      <c r="AK21" s="16" t="s">
        <v>28</v>
      </c>
      <c r="AL21" s="17" t="s">
        <v>28</v>
      </c>
      <c r="AM21" s="18">
        <f t="shared" si="1"/>
        <v>40</v>
      </c>
      <c r="AN21" s="18">
        <f t="shared" si="2"/>
        <v>140</v>
      </c>
      <c r="AO21" s="18">
        <f t="shared" si="3"/>
        <v>75.14166667</v>
      </c>
    </row>
    <row r="22" ht="12.75" customHeight="1">
      <c r="A22" s="19" t="s">
        <v>38</v>
      </c>
      <c r="B22" s="15" t="s">
        <v>19</v>
      </c>
      <c r="C22" s="16">
        <v>40.0</v>
      </c>
      <c r="D22" s="16">
        <v>100.0</v>
      </c>
      <c r="E22" s="16">
        <v>64.08</v>
      </c>
      <c r="F22" s="16">
        <v>20.0</v>
      </c>
      <c r="G22" s="16">
        <v>80.0</v>
      </c>
      <c r="H22" s="16">
        <v>36.69</v>
      </c>
      <c r="I22" s="16">
        <v>15.0</v>
      </c>
      <c r="J22" s="16">
        <v>65.0</v>
      </c>
      <c r="K22" s="16">
        <v>34.83</v>
      </c>
      <c r="L22" s="16">
        <v>35.0</v>
      </c>
      <c r="M22" s="16">
        <v>70.0</v>
      </c>
      <c r="N22" s="16">
        <v>48.65</v>
      </c>
      <c r="O22" s="16">
        <v>25.0</v>
      </c>
      <c r="P22" s="16">
        <v>60.0</v>
      </c>
      <c r="Q22" s="16">
        <v>36.45</v>
      </c>
      <c r="R22" s="16">
        <v>50.0</v>
      </c>
      <c r="S22" s="16">
        <v>120.0</v>
      </c>
      <c r="T22" s="16">
        <v>83.94</v>
      </c>
      <c r="U22" s="16">
        <v>45.0</v>
      </c>
      <c r="V22" s="16">
        <v>100.0</v>
      </c>
      <c r="W22" s="16">
        <v>69.76</v>
      </c>
      <c r="X22" s="16">
        <v>50.0</v>
      </c>
      <c r="Y22" s="16">
        <v>80.0</v>
      </c>
      <c r="Z22" s="16">
        <v>68.54</v>
      </c>
      <c r="AA22" s="16">
        <v>60.0</v>
      </c>
      <c r="AB22" s="16">
        <v>110.0</v>
      </c>
      <c r="AC22" s="16">
        <v>80.64</v>
      </c>
      <c r="AD22" s="16">
        <v>90.0</v>
      </c>
      <c r="AE22" s="16">
        <v>160.0</v>
      </c>
      <c r="AF22" s="16">
        <v>116.81</v>
      </c>
      <c r="AG22" s="16">
        <v>60.0</v>
      </c>
      <c r="AH22" s="16">
        <v>190.0</v>
      </c>
      <c r="AI22" s="16">
        <v>107.3</v>
      </c>
      <c r="AJ22" s="16">
        <v>55.0</v>
      </c>
      <c r="AK22" s="16">
        <v>100.0</v>
      </c>
      <c r="AL22" s="17">
        <v>74.02</v>
      </c>
      <c r="AM22" s="18">
        <f t="shared" si="1"/>
        <v>15</v>
      </c>
      <c r="AN22" s="18">
        <f t="shared" si="2"/>
        <v>190</v>
      </c>
      <c r="AO22" s="18">
        <f t="shared" si="3"/>
        <v>68.47583333</v>
      </c>
    </row>
    <row r="23" ht="12.75" customHeight="1">
      <c r="A23" s="14" t="s">
        <v>39</v>
      </c>
      <c r="B23" s="15" t="s">
        <v>19</v>
      </c>
      <c r="C23" s="16">
        <v>35.0</v>
      </c>
      <c r="D23" s="16">
        <v>60.0</v>
      </c>
      <c r="E23" s="16">
        <v>48.83</v>
      </c>
      <c r="F23" s="16">
        <v>25.0</v>
      </c>
      <c r="G23" s="16">
        <v>60.0</v>
      </c>
      <c r="H23" s="16">
        <v>42.33</v>
      </c>
      <c r="I23" s="16">
        <v>18.0</v>
      </c>
      <c r="J23" s="16">
        <v>50.0</v>
      </c>
      <c r="K23" s="16">
        <v>41.19</v>
      </c>
      <c r="L23" s="16">
        <v>30.0</v>
      </c>
      <c r="M23" s="16">
        <v>50.0</v>
      </c>
      <c r="N23" s="16">
        <v>40.06</v>
      </c>
      <c r="O23" s="16">
        <v>12.0</v>
      </c>
      <c r="P23" s="16">
        <v>40.0</v>
      </c>
      <c r="Q23" s="16">
        <v>25.09</v>
      </c>
      <c r="R23" s="16">
        <v>30.0</v>
      </c>
      <c r="S23" s="16">
        <v>55.0</v>
      </c>
      <c r="T23" s="16">
        <v>37.78</v>
      </c>
      <c r="U23" s="16">
        <v>20.0</v>
      </c>
      <c r="V23" s="16">
        <v>50.0</v>
      </c>
      <c r="W23" s="16">
        <v>37.54</v>
      </c>
      <c r="X23" s="16">
        <v>30.0</v>
      </c>
      <c r="Y23" s="16">
        <v>50.0</v>
      </c>
      <c r="Z23" s="16">
        <v>40.29</v>
      </c>
      <c r="AA23" s="16">
        <v>20.0</v>
      </c>
      <c r="AB23" s="16">
        <v>50.0</v>
      </c>
      <c r="AC23" s="16">
        <v>33.1</v>
      </c>
      <c r="AD23" s="16">
        <v>25.0</v>
      </c>
      <c r="AE23" s="16">
        <v>45.0</v>
      </c>
      <c r="AF23" s="16">
        <v>35.24</v>
      </c>
      <c r="AG23" s="16">
        <v>30.0</v>
      </c>
      <c r="AH23" s="16">
        <v>50.0</v>
      </c>
      <c r="AI23" s="16">
        <v>38.7</v>
      </c>
      <c r="AJ23" s="16">
        <v>30.0</v>
      </c>
      <c r="AK23" s="16">
        <v>60.0</v>
      </c>
      <c r="AL23" s="17">
        <v>40.06</v>
      </c>
      <c r="AM23" s="18">
        <f t="shared" si="1"/>
        <v>12</v>
      </c>
      <c r="AN23" s="18">
        <f t="shared" si="2"/>
        <v>60</v>
      </c>
      <c r="AO23" s="18">
        <f t="shared" si="3"/>
        <v>38.35083333</v>
      </c>
    </row>
    <row r="24" ht="12.75" customHeight="1">
      <c r="A24" s="19" t="s">
        <v>40</v>
      </c>
      <c r="B24" s="15" t="s">
        <v>19</v>
      </c>
      <c r="C24" s="16">
        <v>35.0</v>
      </c>
      <c r="D24" s="16">
        <v>80.0</v>
      </c>
      <c r="E24" s="16">
        <v>51.43</v>
      </c>
      <c r="F24" s="16">
        <v>25.0</v>
      </c>
      <c r="G24" s="16">
        <v>50.0</v>
      </c>
      <c r="H24" s="16">
        <v>36.94</v>
      </c>
      <c r="I24" s="16">
        <v>20.0</v>
      </c>
      <c r="J24" s="16">
        <v>50.0</v>
      </c>
      <c r="K24" s="16">
        <v>32.96</v>
      </c>
      <c r="L24" s="16">
        <v>30.0</v>
      </c>
      <c r="M24" s="16">
        <v>70.0</v>
      </c>
      <c r="N24" s="16">
        <v>46.33</v>
      </c>
      <c r="O24" s="16">
        <v>30.0</v>
      </c>
      <c r="P24" s="16">
        <v>75.0</v>
      </c>
      <c r="Q24" s="16">
        <v>43.84</v>
      </c>
      <c r="R24" s="16">
        <v>35.0</v>
      </c>
      <c r="S24" s="16">
        <v>75.0</v>
      </c>
      <c r="T24" s="16">
        <v>54.65</v>
      </c>
      <c r="U24" s="16">
        <v>25.0</v>
      </c>
      <c r="V24" s="16">
        <v>80.0</v>
      </c>
      <c r="W24" s="16">
        <v>47.66</v>
      </c>
      <c r="X24" s="16">
        <v>35.0</v>
      </c>
      <c r="Y24" s="16">
        <v>60.0</v>
      </c>
      <c r="Z24" s="16">
        <v>41.69</v>
      </c>
      <c r="AA24" s="16">
        <v>40.0</v>
      </c>
      <c r="AB24" s="16">
        <v>70.0</v>
      </c>
      <c r="AC24" s="16">
        <v>50.84</v>
      </c>
      <c r="AD24" s="16">
        <v>150.0</v>
      </c>
      <c r="AE24" s="16">
        <v>160.0</v>
      </c>
      <c r="AF24" s="16">
        <v>155.0</v>
      </c>
      <c r="AG24" s="16">
        <v>60.0</v>
      </c>
      <c r="AH24" s="16">
        <v>140.0</v>
      </c>
      <c r="AI24" s="16">
        <v>83.54</v>
      </c>
      <c r="AJ24" s="16">
        <v>45.0</v>
      </c>
      <c r="AK24" s="16">
        <v>80.0</v>
      </c>
      <c r="AL24" s="17">
        <v>63.64</v>
      </c>
      <c r="AM24" s="18">
        <f t="shared" si="1"/>
        <v>20</v>
      </c>
      <c r="AN24" s="18">
        <f t="shared" si="2"/>
        <v>160</v>
      </c>
      <c r="AO24" s="18">
        <f t="shared" si="3"/>
        <v>59.04333333</v>
      </c>
    </row>
    <row r="25" ht="12.75" customHeight="1">
      <c r="A25" s="19" t="s">
        <v>41</v>
      </c>
      <c r="B25" s="15" t="s">
        <v>19</v>
      </c>
      <c r="C25" s="16">
        <v>70.0</v>
      </c>
      <c r="D25" s="16">
        <v>80.0</v>
      </c>
      <c r="E25" s="16">
        <v>75.0</v>
      </c>
      <c r="F25" s="16">
        <v>24.0</v>
      </c>
      <c r="G25" s="16">
        <v>80.0</v>
      </c>
      <c r="H25" s="16">
        <v>47.5</v>
      </c>
      <c r="I25" s="16">
        <v>10.0</v>
      </c>
      <c r="J25" s="16">
        <v>40.0</v>
      </c>
      <c r="K25" s="16">
        <v>19.84</v>
      </c>
      <c r="L25" s="16">
        <v>20.0</v>
      </c>
      <c r="M25" s="16">
        <v>50.0</v>
      </c>
      <c r="N25" s="16">
        <v>33.5</v>
      </c>
      <c r="O25" s="16">
        <v>20.0</v>
      </c>
      <c r="P25" s="16">
        <v>45.0</v>
      </c>
      <c r="Q25" s="16">
        <v>32.68</v>
      </c>
      <c r="R25" s="16" t="s">
        <v>28</v>
      </c>
      <c r="S25" s="16" t="s">
        <v>28</v>
      </c>
      <c r="T25" s="16" t="s">
        <v>28</v>
      </c>
      <c r="U25" s="16" t="s">
        <v>28</v>
      </c>
      <c r="V25" s="16" t="s">
        <v>28</v>
      </c>
      <c r="W25" s="16" t="s">
        <v>28</v>
      </c>
      <c r="X25" s="16" t="s">
        <v>28</v>
      </c>
      <c r="Y25" s="16" t="s">
        <v>28</v>
      </c>
      <c r="Z25" s="16" t="s">
        <v>28</v>
      </c>
      <c r="AA25" s="16" t="s">
        <v>28</v>
      </c>
      <c r="AB25" s="16" t="s">
        <v>28</v>
      </c>
      <c r="AC25" s="16" t="s">
        <v>28</v>
      </c>
      <c r="AD25" s="16" t="s">
        <v>28</v>
      </c>
      <c r="AE25" s="16" t="s">
        <v>28</v>
      </c>
      <c r="AF25" s="16" t="s">
        <v>28</v>
      </c>
      <c r="AG25" s="16" t="s">
        <v>28</v>
      </c>
      <c r="AH25" s="16" t="s">
        <v>28</v>
      </c>
      <c r="AI25" s="16" t="s">
        <v>28</v>
      </c>
      <c r="AJ25" s="16" t="s">
        <v>28</v>
      </c>
      <c r="AK25" s="16" t="s">
        <v>28</v>
      </c>
      <c r="AL25" s="17" t="s">
        <v>28</v>
      </c>
      <c r="AM25" s="18">
        <f t="shared" si="1"/>
        <v>10</v>
      </c>
      <c r="AN25" s="18">
        <f t="shared" si="2"/>
        <v>80</v>
      </c>
      <c r="AO25" s="18">
        <f t="shared" si="3"/>
        <v>41.704</v>
      </c>
    </row>
    <row r="26" ht="12.75" customHeight="1">
      <c r="A26" s="19" t="s">
        <v>42</v>
      </c>
      <c r="B26" s="15" t="s">
        <v>19</v>
      </c>
      <c r="C26" s="16">
        <v>50.0</v>
      </c>
      <c r="D26" s="16">
        <v>110.0</v>
      </c>
      <c r="E26" s="16">
        <v>75.57</v>
      </c>
      <c r="F26" s="16">
        <v>25.0</v>
      </c>
      <c r="G26" s="16">
        <v>70.0</v>
      </c>
      <c r="H26" s="16">
        <v>49.78</v>
      </c>
      <c r="I26" s="16">
        <v>15.0</v>
      </c>
      <c r="J26" s="16">
        <v>60.0</v>
      </c>
      <c r="K26" s="16">
        <v>36.0</v>
      </c>
      <c r="L26" s="16">
        <v>40.0</v>
      </c>
      <c r="M26" s="16">
        <v>60.0</v>
      </c>
      <c r="N26" s="16">
        <v>51.05</v>
      </c>
      <c r="O26" s="16">
        <v>30.0</v>
      </c>
      <c r="P26" s="16">
        <v>55.0</v>
      </c>
      <c r="Q26" s="16">
        <v>45.54</v>
      </c>
      <c r="R26" s="16">
        <v>30.0</v>
      </c>
      <c r="S26" s="16">
        <v>60.0</v>
      </c>
      <c r="T26" s="16">
        <v>45.49</v>
      </c>
      <c r="U26" s="16">
        <v>45.0</v>
      </c>
      <c r="V26" s="16">
        <v>80.0</v>
      </c>
      <c r="W26" s="16">
        <v>57.28</v>
      </c>
      <c r="X26" s="16" t="s">
        <v>28</v>
      </c>
      <c r="Y26" s="16" t="s">
        <v>28</v>
      </c>
      <c r="Z26" s="16" t="s">
        <v>28</v>
      </c>
      <c r="AA26" s="16" t="s">
        <v>28</v>
      </c>
      <c r="AB26" s="16" t="s">
        <v>28</v>
      </c>
      <c r="AC26" s="16" t="s">
        <v>28</v>
      </c>
      <c r="AD26" s="16" t="s">
        <v>28</v>
      </c>
      <c r="AE26" s="16" t="s">
        <v>28</v>
      </c>
      <c r="AF26" s="16" t="s">
        <v>28</v>
      </c>
      <c r="AG26" s="16" t="s">
        <v>28</v>
      </c>
      <c r="AH26" s="16" t="s">
        <v>28</v>
      </c>
      <c r="AI26" s="16" t="s">
        <v>28</v>
      </c>
      <c r="AJ26" s="16">
        <v>120.0</v>
      </c>
      <c r="AK26" s="16">
        <v>130.0</v>
      </c>
      <c r="AL26" s="17">
        <v>125.0</v>
      </c>
      <c r="AM26" s="18">
        <f t="shared" si="1"/>
        <v>15</v>
      </c>
      <c r="AN26" s="18">
        <f t="shared" si="2"/>
        <v>130</v>
      </c>
      <c r="AO26" s="18">
        <f t="shared" si="3"/>
        <v>60.71375</v>
      </c>
    </row>
    <row r="27" ht="12.75" customHeight="1">
      <c r="A27" s="19" t="s">
        <v>43</v>
      </c>
      <c r="B27" s="15" t="s">
        <v>19</v>
      </c>
      <c r="C27" s="16">
        <v>50.0</v>
      </c>
      <c r="D27" s="16">
        <v>60.0</v>
      </c>
      <c r="E27" s="16">
        <v>55.0</v>
      </c>
      <c r="F27" s="16">
        <v>25.0</v>
      </c>
      <c r="G27" s="16">
        <v>60.0</v>
      </c>
      <c r="H27" s="16">
        <v>47.4</v>
      </c>
      <c r="I27" s="16">
        <v>20.0</v>
      </c>
      <c r="J27" s="16">
        <v>50.0</v>
      </c>
      <c r="K27" s="16">
        <v>37.75</v>
      </c>
      <c r="L27" s="16">
        <v>18.0</v>
      </c>
      <c r="M27" s="16">
        <v>60.0</v>
      </c>
      <c r="N27" s="16">
        <v>39.26</v>
      </c>
      <c r="O27" s="16">
        <v>28.0</v>
      </c>
      <c r="P27" s="16">
        <v>40.0</v>
      </c>
      <c r="Q27" s="16">
        <v>34.41</v>
      </c>
      <c r="R27" s="16" t="s">
        <v>28</v>
      </c>
      <c r="S27" s="16" t="s">
        <v>28</v>
      </c>
      <c r="T27" s="16" t="s">
        <v>28</v>
      </c>
      <c r="U27" s="16" t="s">
        <v>28</v>
      </c>
      <c r="V27" s="16" t="s">
        <v>28</v>
      </c>
      <c r="W27" s="16" t="s">
        <v>28</v>
      </c>
      <c r="X27" s="16" t="s">
        <v>28</v>
      </c>
      <c r="Y27" s="16" t="s">
        <v>28</v>
      </c>
      <c r="Z27" s="16" t="s">
        <v>28</v>
      </c>
      <c r="AA27" s="16" t="s">
        <v>28</v>
      </c>
      <c r="AB27" s="16" t="s">
        <v>28</v>
      </c>
      <c r="AC27" s="16" t="s">
        <v>28</v>
      </c>
      <c r="AD27" s="16" t="s">
        <v>28</v>
      </c>
      <c r="AE27" s="16" t="s">
        <v>28</v>
      </c>
      <c r="AF27" s="16" t="s">
        <v>28</v>
      </c>
      <c r="AG27" s="16" t="s">
        <v>28</v>
      </c>
      <c r="AH27" s="16" t="s">
        <v>28</v>
      </c>
      <c r="AI27" s="16" t="s">
        <v>28</v>
      </c>
      <c r="AJ27" s="16" t="s">
        <v>28</v>
      </c>
      <c r="AK27" s="16" t="s">
        <v>28</v>
      </c>
      <c r="AL27" s="17" t="s">
        <v>28</v>
      </c>
      <c r="AM27" s="18">
        <f t="shared" si="1"/>
        <v>18</v>
      </c>
      <c r="AN27" s="18">
        <f t="shared" si="2"/>
        <v>60</v>
      </c>
      <c r="AO27" s="18">
        <f t="shared" si="3"/>
        <v>42.764</v>
      </c>
    </row>
    <row r="28" ht="12.75" customHeight="1">
      <c r="A28" s="19" t="s">
        <v>44</v>
      </c>
      <c r="B28" s="15" t="s">
        <v>19</v>
      </c>
      <c r="C28" s="16">
        <v>30.0</v>
      </c>
      <c r="D28" s="16">
        <v>50.0</v>
      </c>
      <c r="E28" s="16">
        <v>31.98</v>
      </c>
      <c r="F28" s="16">
        <v>30.0</v>
      </c>
      <c r="G28" s="16">
        <v>35.0</v>
      </c>
      <c r="H28" s="16">
        <v>32.6</v>
      </c>
      <c r="I28" s="16">
        <v>25.0</v>
      </c>
      <c r="J28" s="16">
        <v>35.0</v>
      </c>
      <c r="K28" s="16">
        <v>28.47</v>
      </c>
      <c r="L28" s="16">
        <v>25.0</v>
      </c>
      <c r="M28" s="16">
        <v>40.0</v>
      </c>
      <c r="N28" s="16">
        <v>31.73</v>
      </c>
      <c r="O28" s="16">
        <v>30.0</v>
      </c>
      <c r="P28" s="16">
        <v>55.0</v>
      </c>
      <c r="Q28" s="16">
        <v>44.01</v>
      </c>
      <c r="R28" s="16">
        <v>30.0</v>
      </c>
      <c r="S28" s="16">
        <v>50.0</v>
      </c>
      <c r="T28" s="16">
        <v>35.13</v>
      </c>
      <c r="U28" s="16">
        <v>25.0</v>
      </c>
      <c r="V28" s="16">
        <v>40.0</v>
      </c>
      <c r="W28" s="16">
        <v>29.1</v>
      </c>
      <c r="X28" s="16">
        <v>20.0</v>
      </c>
      <c r="Y28" s="16">
        <v>30.0</v>
      </c>
      <c r="Z28" s="16">
        <v>25.53</v>
      </c>
      <c r="AA28" s="16">
        <v>18.0</v>
      </c>
      <c r="AB28" s="16">
        <v>25.0</v>
      </c>
      <c r="AC28" s="16">
        <v>21.78</v>
      </c>
      <c r="AD28" s="16">
        <v>20.0</v>
      </c>
      <c r="AE28" s="16">
        <v>25.0</v>
      </c>
      <c r="AF28" s="16">
        <v>21.08</v>
      </c>
      <c r="AG28" s="16">
        <v>18.0</v>
      </c>
      <c r="AH28" s="16">
        <v>30.0</v>
      </c>
      <c r="AI28" s="16">
        <v>25.66</v>
      </c>
      <c r="AJ28" s="16">
        <v>25.0</v>
      </c>
      <c r="AK28" s="16">
        <v>45.0</v>
      </c>
      <c r="AL28" s="17">
        <v>30.03</v>
      </c>
      <c r="AM28" s="18">
        <f t="shared" si="1"/>
        <v>18</v>
      </c>
      <c r="AN28" s="18">
        <f t="shared" si="2"/>
        <v>55</v>
      </c>
      <c r="AO28" s="18">
        <f t="shared" si="3"/>
        <v>29.75833333</v>
      </c>
    </row>
    <row r="29" ht="12.75" customHeight="1">
      <c r="A29" s="19" t="s">
        <v>45</v>
      </c>
      <c r="B29" s="15" t="s">
        <v>19</v>
      </c>
      <c r="C29" s="16">
        <v>30.0</v>
      </c>
      <c r="D29" s="16">
        <v>70.0</v>
      </c>
      <c r="E29" s="16">
        <v>49.29</v>
      </c>
      <c r="F29" s="16">
        <v>20.0</v>
      </c>
      <c r="G29" s="16">
        <v>60.0</v>
      </c>
      <c r="H29" s="16">
        <v>41.51</v>
      </c>
      <c r="I29" s="16">
        <v>18.0</v>
      </c>
      <c r="J29" s="16">
        <v>52.0</v>
      </c>
      <c r="K29" s="16">
        <v>31.2</v>
      </c>
      <c r="L29" s="16">
        <v>30.0</v>
      </c>
      <c r="M29" s="16">
        <v>65.0</v>
      </c>
      <c r="N29" s="16">
        <v>44.84</v>
      </c>
      <c r="O29" s="16">
        <v>28.0</v>
      </c>
      <c r="P29" s="16">
        <v>55.0</v>
      </c>
      <c r="Q29" s="16">
        <v>41.61</v>
      </c>
      <c r="R29" s="16">
        <v>30.0</v>
      </c>
      <c r="S29" s="16">
        <v>55.0</v>
      </c>
      <c r="T29" s="16">
        <v>40.67</v>
      </c>
      <c r="U29" s="16">
        <v>25.0</v>
      </c>
      <c r="V29" s="16">
        <v>58.0</v>
      </c>
      <c r="W29" s="16">
        <v>35.12</v>
      </c>
      <c r="X29" s="16">
        <v>30.0</v>
      </c>
      <c r="Y29" s="16">
        <v>50.0</v>
      </c>
      <c r="Z29" s="16">
        <v>36.08</v>
      </c>
      <c r="AA29" s="16">
        <v>10.0</v>
      </c>
      <c r="AB29" s="16">
        <v>40.0</v>
      </c>
      <c r="AC29" s="16">
        <v>18.87</v>
      </c>
      <c r="AD29" s="16">
        <v>10.0</v>
      </c>
      <c r="AE29" s="16">
        <v>24.0</v>
      </c>
      <c r="AF29" s="16">
        <v>15.08</v>
      </c>
      <c r="AG29" s="16">
        <v>10.0</v>
      </c>
      <c r="AH29" s="16">
        <v>25.0</v>
      </c>
      <c r="AI29" s="16">
        <v>16.37</v>
      </c>
      <c r="AJ29" s="16">
        <v>10.0</v>
      </c>
      <c r="AK29" s="16">
        <v>45.0</v>
      </c>
      <c r="AL29" s="17">
        <v>26.1</v>
      </c>
      <c r="AM29" s="18">
        <f t="shared" si="1"/>
        <v>10</v>
      </c>
      <c r="AN29" s="18">
        <f t="shared" si="2"/>
        <v>70</v>
      </c>
      <c r="AO29" s="18">
        <f t="shared" si="3"/>
        <v>33.06166667</v>
      </c>
    </row>
    <row r="30" ht="12.75" customHeight="1">
      <c r="A30" s="19" t="s">
        <v>46</v>
      </c>
      <c r="B30" s="15" t="s">
        <v>19</v>
      </c>
      <c r="C30" s="16">
        <v>35.0</v>
      </c>
      <c r="D30" s="16">
        <v>100.0</v>
      </c>
      <c r="E30" s="16">
        <v>59.23</v>
      </c>
      <c r="F30" s="16">
        <v>20.0</v>
      </c>
      <c r="G30" s="16">
        <v>50.0</v>
      </c>
      <c r="H30" s="16">
        <v>38.07</v>
      </c>
      <c r="I30" s="16">
        <v>20.0</v>
      </c>
      <c r="J30" s="16">
        <v>70.0</v>
      </c>
      <c r="K30" s="16">
        <v>48.32</v>
      </c>
      <c r="L30" s="16">
        <v>25.0</v>
      </c>
      <c r="M30" s="16">
        <v>60.0</v>
      </c>
      <c r="N30" s="16">
        <v>40.97</v>
      </c>
      <c r="O30" s="16">
        <v>18.0</v>
      </c>
      <c r="P30" s="16">
        <v>80.0</v>
      </c>
      <c r="Q30" s="16">
        <v>45.74</v>
      </c>
      <c r="R30" s="16">
        <v>35.0</v>
      </c>
      <c r="S30" s="16">
        <v>100.0</v>
      </c>
      <c r="T30" s="16">
        <v>77.32</v>
      </c>
      <c r="U30" s="16">
        <v>50.0</v>
      </c>
      <c r="V30" s="16">
        <v>100.0</v>
      </c>
      <c r="W30" s="16">
        <v>83.31</v>
      </c>
      <c r="X30" s="16">
        <v>50.0</v>
      </c>
      <c r="Y30" s="16">
        <v>100.0</v>
      </c>
      <c r="Z30" s="16">
        <v>74.62</v>
      </c>
      <c r="AA30" s="16">
        <v>75.0</v>
      </c>
      <c r="AB30" s="16">
        <v>140.0</v>
      </c>
      <c r="AC30" s="16">
        <v>104.31</v>
      </c>
      <c r="AD30" s="16">
        <v>90.0</v>
      </c>
      <c r="AE30" s="16">
        <v>160.0</v>
      </c>
      <c r="AF30" s="16">
        <v>120.88</v>
      </c>
      <c r="AG30" s="16">
        <v>75.0</v>
      </c>
      <c r="AH30" s="16">
        <v>120.0</v>
      </c>
      <c r="AI30" s="16">
        <v>101.93</v>
      </c>
      <c r="AJ30" s="16">
        <v>58.0</v>
      </c>
      <c r="AK30" s="16">
        <v>110.0</v>
      </c>
      <c r="AL30" s="17">
        <v>81.34</v>
      </c>
      <c r="AM30" s="18">
        <f t="shared" si="1"/>
        <v>18</v>
      </c>
      <c r="AN30" s="18">
        <f t="shared" si="2"/>
        <v>160</v>
      </c>
      <c r="AO30" s="18">
        <f t="shared" si="3"/>
        <v>73.00333333</v>
      </c>
    </row>
    <row r="31" ht="12.75" customHeight="1">
      <c r="A31" s="20" t="s">
        <v>47</v>
      </c>
      <c r="B31" s="21" t="s">
        <v>19</v>
      </c>
      <c r="C31" s="22" t="s">
        <v>28</v>
      </c>
      <c r="D31" s="22" t="s">
        <v>28</v>
      </c>
      <c r="E31" s="22" t="s">
        <v>28</v>
      </c>
      <c r="F31" s="22" t="s">
        <v>28</v>
      </c>
      <c r="G31" s="22" t="s">
        <v>28</v>
      </c>
      <c r="H31" s="22" t="s">
        <v>28</v>
      </c>
      <c r="I31" s="22" t="s">
        <v>28</v>
      </c>
      <c r="J31" s="22" t="s">
        <v>28</v>
      </c>
      <c r="K31" s="22" t="s">
        <v>28</v>
      </c>
      <c r="L31" s="22" t="s">
        <v>28</v>
      </c>
      <c r="M31" s="22" t="s">
        <v>28</v>
      </c>
      <c r="N31" s="22" t="s">
        <v>28</v>
      </c>
      <c r="O31" s="22" t="s">
        <v>28</v>
      </c>
      <c r="P31" s="22" t="s">
        <v>28</v>
      </c>
      <c r="Q31" s="22" t="s">
        <v>28</v>
      </c>
      <c r="R31" s="22" t="s">
        <v>28</v>
      </c>
      <c r="S31" s="22" t="s">
        <v>28</v>
      </c>
      <c r="T31" s="22" t="s">
        <v>28</v>
      </c>
      <c r="U31" s="22">
        <v>50.0</v>
      </c>
      <c r="V31" s="22">
        <v>60.0</v>
      </c>
      <c r="W31" s="22">
        <v>54.25</v>
      </c>
      <c r="X31" s="22">
        <v>60.0</v>
      </c>
      <c r="Y31" s="22">
        <v>80.0</v>
      </c>
      <c r="Z31" s="22">
        <v>70.0</v>
      </c>
      <c r="AA31" s="22">
        <v>50.0</v>
      </c>
      <c r="AB31" s="22">
        <v>60.0</v>
      </c>
      <c r="AC31" s="22">
        <v>54.82</v>
      </c>
      <c r="AD31" s="22">
        <v>30.0</v>
      </c>
      <c r="AE31" s="22">
        <v>70.0</v>
      </c>
      <c r="AF31" s="22">
        <v>59.4</v>
      </c>
      <c r="AG31" s="22">
        <v>60.0</v>
      </c>
      <c r="AH31" s="22">
        <v>70.0</v>
      </c>
      <c r="AI31" s="22">
        <v>62.6</v>
      </c>
      <c r="AJ31" s="22" t="s">
        <v>28</v>
      </c>
      <c r="AK31" s="22" t="s">
        <v>28</v>
      </c>
      <c r="AL31" s="23" t="s">
        <v>28</v>
      </c>
      <c r="AM31" s="24">
        <f t="shared" si="1"/>
        <v>30</v>
      </c>
      <c r="AN31" s="24">
        <f t="shared" si="2"/>
        <v>80</v>
      </c>
      <c r="AO31" s="24">
        <f t="shared" si="3"/>
        <v>60.214</v>
      </c>
    </row>
    <row r="32" ht="12.75" customHeight="1">
      <c r="A32" s="25" t="s">
        <v>48</v>
      </c>
      <c r="B32" s="15" t="s">
        <v>19</v>
      </c>
      <c r="C32" s="16">
        <v>40.0</v>
      </c>
      <c r="D32" s="16">
        <v>70.0</v>
      </c>
      <c r="E32" s="16">
        <v>55.51</v>
      </c>
      <c r="F32" s="16" t="s">
        <v>28</v>
      </c>
      <c r="G32" s="16" t="s">
        <v>28</v>
      </c>
      <c r="H32" s="16" t="s">
        <v>28</v>
      </c>
      <c r="I32" s="16" t="s">
        <v>28</v>
      </c>
      <c r="J32" s="16" t="s">
        <v>28</v>
      </c>
      <c r="K32" s="16" t="s">
        <v>28</v>
      </c>
      <c r="L32" s="16" t="s">
        <v>28</v>
      </c>
      <c r="M32" s="16" t="s">
        <v>28</v>
      </c>
      <c r="N32" s="16" t="s">
        <v>28</v>
      </c>
      <c r="O32" s="16">
        <v>90.0</v>
      </c>
      <c r="P32" s="16">
        <v>110.0</v>
      </c>
      <c r="Q32" s="16">
        <v>100.0</v>
      </c>
      <c r="R32" s="16">
        <v>40.0</v>
      </c>
      <c r="S32" s="16">
        <v>100.0</v>
      </c>
      <c r="T32" s="16">
        <v>69.39</v>
      </c>
      <c r="U32" s="16">
        <v>15.0</v>
      </c>
      <c r="V32" s="16">
        <v>40.0</v>
      </c>
      <c r="W32" s="16">
        <v>28.73</v>
      </c>
      <c r="X32" s="16">
        <v>15.0</v>
      </c>
      <c r="Y32" s="16">
        <v>30.0</v>
      </c>
      <c r="Z32" s="16">
        <v>19.22</v>
      </c>
      <c r="AA32" s="16">
        <v>24.0</v>
      </c>
      <c r="AB32" s="16">
        <v>40.0</v>
      </c>
      <c r="AC32" s="16">
        <v>34.38</v>
      </c>
      <c r="AD32" s="16">
        <v>20.0</v>
      </c>
      <c r="AE32" s="16">
        <v>40.0</v>
      </c>
      <c r="AF32" s="16">
        <v>30.56</v>
      </c>
      <c r="AG32" s="16">
        <v>24.0</v>
      </c>
      <c r="AH32" s="16">
        <v>40.0</v>
      </c>
      <c r="AI32" s="16">
        <v>28.62</v>
      </c>
      <c r="AJ32" s="16">
        <v>30.0</v>
      </c>
      <c r="AK32" s="16">
        <v>55.0</v>
      </c>
      <c r="AL32" s="17">
        <v>40.0</v>
      </c>
      <c r="AM32" s="18">
        <f t="shared" si="1"/>
        <v>15</v>
      </c>
      <c r="AN32" s="18">
        <f t="shared" si="2"/>
        <v>110</v>
      </c>
      <c r="AO32" s="18">
        <f t="shared" si="3"/>
        <v>45.15666667</v>
      </c>
    </row>
    <row r="33" ht="12.75" customHeight="1">
      <c r="A33" s="14" t="s">
        <v>49</v>
      </c>
      <c r="B33" s="15" t="s">
        <v>19</v>
      </c>
      <c r="C33" s="16">
        <v>40.0</v>
      </c>
      <c r="D33" s="16">
        <v>50.0</v>
      </c>
      <c r="E33" s="16">
        <v>45.09</v>
      </c>
      <c r="F33" s="16" t="s">
        <v>28</v>
      </c>
      <c r="G33" s="16" t="s">
        <v>28</v>
      </c>
      <c r="H33" s="16" t="s">
        <v>28</v>
      </c>
      <c r="I33" s="16">
        <v>40.0</v>
      </c>
      <c r="J33" s="16">
        <v>58.0</v>
      </c>
      <c r="K33" s="16">
        <v>47.51</v>
      </c>
      <c r="L33" s="16">
        <v>35.0</v>
      </c>
      <c r="M33" s="16">
        <v>50.0</v>
      </c>
      <c r="N33" s="16">
        <v>39.19</v>
      </c>
      <c r="O33" s="16">
        <v>20.0</v>
      </c>
      <c r="P33" s="16">
        <v>40.0</v>
      </c>
      <c r="Q33" s="16">
        <v>29.9</v>
      </c>
      <c r="R33" s="16">
        <v>25.0</v>
      </c>
      <c r="S33" s="16">
        <v>40.0</v>
      </c>
      <c r="T33" s="16">
        <v>32.78</v>
      </c>
      <c r="U33" s="16">
        <v>30.0</v>
      </c>
      <c r="V33" s="16">
        <v>35.0</v>
      </c>
      <c r="W33" s="16">
        <v>32.67</v>
      </c>
      <c r="X33" s="16">
        <v>30.0</v>
      </c>
      <c r="Y33" s="16">
        <v>45.0</v>
      </c>
      <c r="Z33" s="16">
        <v>35.04</v>
      </c>
      <c r="AA33" s="16">
        <v>30.0</v>
      </c>
      <c r="AB33" s="16">
        <v>40.0</v>
      </c>
      <c r="AC33" s="16">
        <v>34.62</v>
      </c>
      <c r="AD33" s="16">
        <v>30.0</v>
      </c>
      <c r="AE33" s="16">
        <v>40.0</v>
      </c>
      <c r="AF33" s="16">
        <v>35.95</v>
      </c>
      <c r="AG33" s="16">
        <v>30.0</v>
      </c>
      <c r="AH33" s="16">
        <v>55.0</v>
      </c>
      <c r="AI33" s="16">
        <v>46.07</v>
      </c>
      <c r="AJ33" s="16">
        <v>50.0</v>
      </c>
      <c r="AK33" s="16">
        <v>65.0</v>
      </c>
      <c r="AL33" s="17">
        <v>55.9</v>
      </c>
      <c r="AM33" s="18">
        <f t="shared" si="1"/>
        <v>20</v>
      </c>
      <c r="AN33" s="18">
        <f t="shared" si="2"/>
        <v>65</v>
      </c>
      <c r="AO33" s="18">
        <f t="shared" si="3"/>
        <v>39.52</v>
      </c>
    </row>
    <row r="34" ht="12.75" customHeight="1">
      <c r="A34" s="20" t="s">
        <v>50</v>
      </c>
      <c r="B34" s="21" t="s">
        <v>19</v>
      </c>
      <c r="C34" s="22">
        <v>20.0</v>
      </c>
      <c r="D34" s="22">
        <v>75.0</v>
      </c>
      <c r="E34" s="22">
        <v>28.01</v>
      </c>
      <c r="F34" s="22">
        <v>30.0</v>
      </c>
      <c r="G34" s="22">
        <v>40.0</v>
      </c>
      <c r="H34" s="22">
        <v>35.0</v>
      </c>
      <c r="I34" s="22">
        <v>25.0</v>
      </c>
      <c r="J34" s="22">
        <v>60.0</v>
      </c>
      <c r="K34" s="22">
        <v>42.27</v>
      </c>
      <c r="L34" s="22">
        <v>30.0</v>
      </c>
      <c r="M34" s="22">
        <v>85.0</v>
      </c>
      <c r="N34" s="22">
        <v>49.45</v>
      </c>
      <c r="O34" s="22">
        <v>14.0</v>
      </c>
      <c r="P34" s="22">
        <v>35.0</v>
      </c>
      <c r="Q34" s="22">
        <v>21.26</v>
      </c>
      <c r="R34" s="22">
        <v>10.0</v>
      </c>
      <c r="S34" s="22">
        <v>20.0</v>
      </c>
      <c r="T34" s="22">
        <v>17.42</v>
      </c>
      <c r="U34" s="22">
        <v>8.0</v>
      </c>
      <c r="V34" s="22">
        <v>20.0</v>
      </c>
      <c r="W34" s="22">
        <v>11.92</v>
      </c>
      <c r="X34" s="22">
        <v>10.0</v>
      </c>
      <c r="Y34" s="22">
        <v>40.0</v>
      </c>
      <c r="Z34" s="22">
        <v>13.17</v>
      </c>
      <c r="AA34" s="22">
        <v>10.0</v>
      </c>
      <c r="AB34" s="22">
        <v>25.0</v>
      </c>
      <c r="AC34" s="22">
        <v>15.45</v>
      </c>
      <c r="AD34" s="22">
        <v>18.0</v>
      </c>
      <c r="AE34" s="22">
        <v>40.0</v>
      </c>
      <c r="AF34" s="22">
        <v>32.04</v>
      </c>
      <c r="AG34" s="22">
        <v>25.0</v>
      </c>
      <c r="AH34" s="22">
        <v>35.0</v>
      </c>
      <c r="AI34" s="22">
        <v>28.27</v>
      </c>
      <c r="AJ34" s="22">
        <v>30.0</v>
      </c>
      <c r="AK34" s="22">
        <v>45.0</v>
      </c>
      <c r="AL34" s="23">
        <v>37.62</v>
      </c>
      <c r="AM34" s="24">
        <f t="shared" si="1"/>
        <v>8</v>
      </c>
      <c r="AN34" s="24">
        <f t="shared" si="2"/>
        <v>85</v>
      </c>
      <c r="AO34" s="24">
        <f t="shared" si="3"/>
        <v>27.65666667</v>
      </c>
    </row>
    <row r="35" ht="12.75" customHeight="1">
      <c r="A35" s="25" t="s">
        <v>51</v>
      </c>
      <c r="B35" s="15" t="s">
        <v>19</v>
      </c>
      <c r="C35" s="16">
        <v>50.0</v>
      </c>
      <c r="D35" s="16">
        <v>80.0</v>
      </c>
      <c r="E35" s="16">
        <v>70.48</v>
      </c>
      <c r="F35" s="16">
        <v>60.0</v>
      </c>
      <c r="G35" s="16">
        <v>80.0</v>
      </c>
      <c r="H35" s="16">
        <v>69.69</v>
      </c>
      <c r="I35" s="16">
        <v>40.0</v>
      </c>
      <c r="J35" s="16">
        <v>65.0</v>
      </c>
      <c r="K35" s="16">
        <v>47.37</v>
      </c>
      <c r="L35" s="16">
        <v>45.0</v>
      </c>
      <c r="M35" s="16">
        <v>85.0</v>
      </c>
      <c r="N35" s="16">
        <v>60.59</v>
      </c>
      <c r="O35" s="16">
        <v>15.0</v>
      </c>
      <c r="P35" s="16">
        <v>90.0</v>
      </c>
      <c r="Q35" s="16">
        <v>66.94</v>
      </c>
      <c r="R35" s="16">
        <v>50.0</v>
      </c>
      <c r="S35" s="16">
        <v>65.0</v>
      </c>
      <c r="T35" s="16">
        <v>57.6</v>
      </c>
      <c r="U35" s="16">
        <v>30.0</v>
      </c>
      <c r="V35" s="16">
        <v>55.0</v>
      </c>
      <c r="W35" s="16">
        <v>47.33</v>
      </c>
      <c r="X35" s="16">
        <v>20.0</v>
      </c>
      <c r="Y35" s="16">
        <v>65.0</v>
      </c>
      <c r="Z35" s="16">
        <v>32.83</v>
      </c>
      <c r="AA35" s="16">
        <v>20.0</v>
      </c>
      <c r="AB35" s="16">
        <v>35.0</v>
      </c>
      <c r="AC35" s="16">
        <v>24.97</v>
      </c>
      <c r="AD35" s="16">
        <v>20.0</v>
      </c>
      <c r="AE35" s="16">
        <v>40.0</v>
      </c>
      <c r="AF35" s="16">
        <v>32.1</v>
      </c>
      <c r="AG35" s="16">
        <v>20.0</v>
      </c>
      <c r="AH35" s="16">
        <v>35.0</v>
      </c>
      <c r="AI35" s="16">
        <v>27.82</v>
      </c>
      <c r="AJ35" s="16">
        <v>25.0</v>
      </c>
      <c r="AK35" s="16">
        <v>45.0</v>
      </c>
      <c r="AL35" s="17">
        <v>36.94</v>
      </c>
      <c r="AM35" s="18">
        <f t="shared" si="1"/>
        <v>15</v>
      </c>
      <c r="AN35" s="18">
        <f t="shared" si="2"/>
        <v>90</v>
      </c>
      <c r="AO35" s="18">
        <f t="shared" si="3"/>
        <v>47.88833333</v>
      </c>
    </row>
    <row r="36" ht="12.75" customHeight="1">
      <c r="A36" s="19" t="s">
        <v>52</v>
      </c>
      <c r="B36" s="15" t="s">
        <v>19</v>
      </c>
      <c r="C36" s="16">
        <v>60.0</v>
      </c>
      <c r="D36" s="16">
        <v>80.0</v>
      </c>
      <c r="E36" s="16">
        <v>71.31</v>
      </c>
      <c r="F36" s="16">
        <v>60.0</v>
      </c>
      <c r="G36" s="16">
        <v>80.0</v>
      </c>
      <c r="H36" s="16">
        <v>69.69</v>
      </c>
      <c r="I36" s="16">
        <v>40.0</v>
      </c>
      <c r="J36" s="16">
        <v>65.0</v>
      </c>
      <c r="K36" s="16">
        <v>47.34</v>
      </c>
      <c r="L36" s="16">
        <v>45.0</v>
      </c>
      <c r="M36" s="16">
        <v>85.0</v>
      </c>
      <c r="N36" s="16">
        <v>60.63</v>
      </c>
      <c r="O36" s="16">
        <v>70.0</v>
      </c>
      <c r="P36" s="16">
        <v>85.0</v>
      </c>
      <c r="Q36" s="16">
        <v>77.02</v>
      </c>
      <c r="R36" s="16">
        <v>60.0</v>
      </c>
      <c r="S36" s="16">
        <v>75.0</v>
      </c>
      <c r="T36" s="16">
        <v>67.5</v>
      </c>
      <c r="U36" s="16">
        <v>50.0</v>
      </c>
      <c r="V36" s="16">
        <v>65.0</v>
      </c>
      <c r="W36" s="16">
        <v>61.5</v>
      </c>
      <c r="X36" s="16">
        <v>60.0</v>
      </c>
      <c r="Y36" s="16">
        <v>65.0</v>
      </c>
      <c r="Z36" s="16">
        <v>62.5</v>
      </c>
      <c r="AA36" s="16">
        <v>20.0</v>
      </c>
      <c r="AB36" s="16">
        <v>65.0</v>
      </c>
      <c r="AC36" s="16">
        <v>36.31</v>
      </c>
      <c r="AD36" s="16">
        <v>25.0</v>
      </c>
      <c r="AE36" s="16">
        <v>45.0</v>
      </c>
      <c r="AF36" s="16">
        <v>33.85</v>
      </c>
      <c r="AG36" s="16">
        <v>30.0</v>
      </c>
      <c r="AH36" s="16">
        <v>35.0</v>
      </c>
      <c r="AI36" s="16">
        <v>32.65</v>
      </c>
      <c r="AJ36" s="16">
        <v>30.0</v>
      </c>
      <c r="AK36" s="16">
        <v>45.0</v>
      </c>
      <c r="AL36" s="17">
        <v>37.43</v>
      </c>
      <c r="AM36" s="18">
        <f t="shared" si="1"/>
        <v>20</v>
      </c>
      <c r="AN36" s="18">
        <f t="shared" si="2"/>
        <v>85</v>
      </c>
      <c r="AO36" s="18">
        <f t="shared" si="3"/>
        <v>54.81083333</v>
      </c>
    </row>
    <row r="37" ht="12.75" customHeight="1">
      <c r="A37" s="25" t="s">
        <v>53</v>
      </c>
      <c r="B37" s="15" t="s">
        <v>19</v>
      </c>
      <c r="C37" s="16">
        <v>60.0</v>
      </c>
      <c r="D37" s="16">
        <v>80.0</v>
      </c>
      <c r="E37" s="16">
        <v>71.29</v>
      </c>
      <c r="F37" s="16">
        <v>60.0</v>
      </c>
      <c r="G37" s="16">
        <v>80.0</v>
      </c>
      <c r="H37" s="16">
        <v>69.69</v>
      </c>
      <c r="I37" s="16">
        <v>40.0</v>
      </c>
      <c r="J37" s="16">
        <v>65.0</v>
      </c>
      <c r="K37" s="16">
        <v>47.34</v>
      </c>
      <c r="L37" s="16">
        <v>45.0</v>
      </c>
      <c r="M37" s="16">
        <v>85.0</v>
      </c>
      <c r="N37" s="16">
        <v>60.63</v>
      </c>
      <c r="O37" s="16">
        <v>70.0</v>
      </c>
      <c r="P37" s="16">
        <v>85.0</v>
      </c>
      <c r="Q37" s="16">
        <v>77.02</v>
      </c>
      <c r="R37" s="16">
        <v>60.0</v>
      </c>
      <c r="S37" s="16">
        <v>75.0</v>
      </c>
      <c r="T37" s="16">
        <v>67.5</v>
      </c>
      <c r="U37" s="16">
        <v>50.0</v>
      </c>
      <c r="V37" s="16">
        <v>65.0</v>
      </c>
      <c r="W37" s="16">
        <v>61.5</v>
      </c>
      <c r="X37" s="16">
        <v>60.0</v>
      </c>
      <c r="Y37" s="16">
        <v>65.0</v>
      </c>
      <c r="Z37" s="16">
        <v>62.5</v>
      </c>
      <c r="AA37" s="16">
        <v>30.0</v>
      </c>
      <c r="AB37" s="16">
        <v>65.0</v>
      </c>
      <c r="AC37" s="16">
        <v>41.16</v>
      </c>
      <c r="AD37" s="16">
        <v>30.0</v>
      </c>
      <c r="AE37" s="16">
        <v>45.0</v>
      </c>
      <c r="AF37" s="16">
        <v>35.31</v>
      </c>
      <c r="AG37" s="16">
        <v>30.0</v>
      </c>
      <c r="AH37" s="16">
        <v>35.0</v>
      </c>
      <c r="AI37" s="16">
        <v>32.65</v>
      </c>
      <c r="AJ37" s="16">
        <v>30.0</v>
      </c>
      <c r="AK37" s="16">
        <v>45.0</v>
      </c>
      <c r="AL37" s="17">
        <v>37.47</v>
      </c>
      <c r="AM37" s="18">
        <f t="shared" si="1"/>
        <v>30</v>
      </c>
      <c r="AN37" s="18">
        <f t="shared" si="2"/>
        <v>85</v>
      </c>
      <c r="AO37" s="18">
        <f t="shared" si="3"/>
        <v>55.33833333</v>
      </c>
    </row>
    <row r="38" ht="12.75" customHeight="1">
      <c r="A38" s="19" t="s">
        <v>54</v>
      </c>
      <c r="B38" s="15" t="s">
        <v>19</v>
      </c>
      <c r="C38" s="16">
        <v>50.0</v>
      </c>
      <c r="D38" s="16">
        <v>80.0</v>
      </c>
      <c r="E38" s="16">
        <v>70.48</v>
      </c>
      <c r="F38" s="16">
        <v>60.0</v>
      </c>
      <c r="G38" s="16">
        <v>80.0</v>
      </c>
      <c r="H38" s="16">
        <v>69.69</v>
      </c>
      <c r="I38" s="16">
        <v>40.0</v>
      </c>
      <c r="J38" s="16">
        <v>65.0</v>
      </c>
      <c r="K38" s="16">
        <v>47.34</v>
      </c>
      <c r="L38" s="16">
        <v>45.0</v>
      </c>
      <c r="M38" s="16">
        <v>85.0</v>
      </c>
      <c r="N38" s="16">
        <v>60.63</v>
      </c>
      <c r="O38" s="16">
        <v>50.0</v>
      </c>
      <c r="P38" s="16">
        <v>85.0</v>
      </c>
      <c r="Q38" s="16">
        <v>67.1</v>
      </c>
      <c r="R38" s="16">
        <v>50.0</v>
      </c>
      <c r="S38" s="16">
        <v>65.0</v>
      </c>
      <c r="T38" s="16">
        <v>56.5</v>
      </c>
      <c r="U38" s="16">
        <v>30.0</v>
      </c>
      <c r="V38" s="16">
        <v>55.0</v>
      </c>
      <c r="W38" s="16">
        <v>48.67</v>
      </c>
      <c r="X38" s="16">
        <v>40.0</v>
      </c>
      <c r="Y38" s="16">
        <v>45.0</v>
      </c>
      <c r="Z38" s="16">
        <v>42.5</v>
      </c>
      <c r="AA38" s="16">
        <v>30.0</v>
      </c>
      <c r="AB38" s="16">
        <v>45.0</v>
      </c>
      <c r="AC38" s="16">
        <v>42.16</v>
      </c>
      <c r="AD38" s="16">
        <v>30.0</v>
      </c>
      <c r="AE38" s="16">
        <v>45.0</v>
      </c>
      <c r="AF38" s="16">
        <v>41.47</v>
      </c>
      <c r="AG38" s="16">
        <v>30.0</v>
      </c>
      <c r="AH38" s="16">
        <v>35.0</v>
      </c>
      <c r="AI38" s="16">
        <v>32.52</v>
      </c>
      <c r="AJ38" s="16">
        <v>30.0</v>
      </c>
      <c r="AK38" s="16">
        <v>45.0</v>
      </c>
      <c r="AL38" s="17">
        <v>37.38</v>
      </c>
      <c r="AM38" s="18">
        <f t="shared" si="1"/>
        <v>30</v>
      </c>
      <c r="AN38" s="18">
        <f t="shared" si="2"/>
        <v>85</v>
      </c>
      <c r="AO38" s="18">
        <f t="shared" si="3"/>
        <v>51.37</v>
      </c>
    </row>
    <row r="39" ht="12.75" customHeight="1">
      <c r="A39" s="19" t="s">
        <v>55</v>
      </c>
      <c r="B39" s="15" t="s">
        <v>19</v>
      </c>
      <c r="C39" s="16">
        <v>60.0</v>
      </c>
      <c r="D39" s="16">
        <v>80.0</v>
      </c>
      <c r="E39" s="16">
        <v>71.37</v>
      </c>
      <c r="F39" s="16">
        <v>60.0</v>
      </c>
      <c r="G39" s="16">
        <v>80.0</v>
      </c>
      <c r="H39" s="16">
        <v>69.69</v>
      </c>
      <c r="I39" s="16">
        <v>40.0</v>
      </c>
      <c r="J39" s="16">
        <v>65.0</v>
      </c>
      <c r="K39" s="16">
        <v>47.42</v>
      </c>
      <c r="L39" s="16">
        <v>40.0</v>
      </c>
      <c r="M39" s="16">
        <v>85.0</v>
      </c>
      <c r="N39" s="16">
        <v>60.55</v>
      </c>
      <c r="O39" s="16">
        <v>70.0</v>
      </c>
      <c r="P39" s="16">
        <v>85.0</v>
      </c>
      <c r="Q39" s="16">
        <v>77.02</v>
      </c>
      <c r="R39" s="16">
        <v>60.0</v>
      </c>
      <c r="S39" s="16">
        <v>75.0</v>
      </c>
      <c r="T39" s="16">
        <v>67.17</v>
      </c>
      <c r="U39" s="16">
        <v>50.0</v>
      </c>
      <c r="V39" s="16">
        <v>65.0</v>
      </c>
      <c r="W39" s="16">
        <v>61.83</v>
      </c>
      <c r="X39" s="16">
        <v>60.0</v>
      </c>
      <c r="Y39" s="16">
        <v>65.0</v>
      </c>
      <c r="Z39" s="16">
        <v>62.5</v>
      </c>
      <c r="AA39" s="16">
        <v>40.0</v>
      </c>
      <c r="AB39" s="16">
        <v>65.0</v>
      </c>
      <c r="AC39" s="16">
        <v>46.98</v>
      </c>
      <c r="AD39" s="16">
        <v>30.0</v>
      </c>
      <c r="AE39" s="16">
        <v>45.0</v>
      </c>
      <c r="AF39" s="16">
        <v>41.47</v>
      </c>
      <c r="AG39" s="16">
        <v>30.0</v>
      </c>
      <c r="AH39" s="16">
        <v>35.0</v>
      </c>
      <c r="AI39" s="16">
        <v>32.64</v>
      </c>
      <c r="AJ39" s="16">
        <v>30.0</v>
      </c>
      <c r="AK39" s="16">
        <v>45.0</v>
      </c>
      <c r="AL39" s="17">
        <v>37.43</v>
      </c>
      <c r="AM39" s="18">
        <f t="shared" si="1"/>
        <v>30</v>
      </c>
      <c r="AN39" s="18">
        <f t="shared" si="2"/>
        <v>85</v>
      </c>
      <c r="AO39" s="18">
        <f t="shared" si="3"/>
        <v>56.33916667</v>
      </c>
    </row>
    <row r="40" ht="12.75" customHeight="1">
      <c r="A40" s="19" t="s">
        <v>56</v>
      </c>
      <c r="B40" s="15" t="s">
        <v>19</v>
      </c>
      <c r="C40" s="16">
        <v>30.0</v>
      </c>
      <c r="D40" s="16">
        <v>65.0</v>
      </c>
      <c r="E40" s="16">
        <v>46.85</v>
      </c>
      <c r="F40" s="16">
        <v>60.0</v>
      </c>
      <c r="G40" s="16">
        <v>90.0</v>
      </c>
      <c r="H40" s="16">
        <v>76.17</v>
      </c>
      <c r="I40" s="16">
        <v>50.0</v>
      </c>
      <c r="J40" s="16">
        <v>130.0</v>
      </c>
      <c r="K40" s="16">
        <v>78.55</v>
      </c>
      <c r="L40" s="16">
        <v>90.0</v>
      </c>
      <c r="M40" s="16">
        <v>140.0</v>
      </c>
      <c r="N40" s="16">
        <v>120.31</v>
      </c>
      <c r="O40" s="16">
        <v>50.0</v>
      </c>
      <c r="P40" s="16">
        <v>110.0</v>
      </c>
      <c r="Q40" s="16">
        <v>72.31</v>
      </c>
      <c r="R40" s="16">
        <v>40.0</v>
      </c>
      <c r="S40" s="16">
        <v>65.0</v>
      </c>
      <c r="T40" s="16">
        <v>53.25</v>
      </c>
      <c r="U40" s="16">
        <v>40.0</v>
      </c>
      <c r="V40" s="16">
        <v>55.0</v>
      </c>
      <c r="W40" s="16">
        <v>50.5</v>
      </c>
      <c r="X40" s="16">
        <v>30.0</v>
      </c>
      <c r="Y40" s="16">
        <v>50.0</v>
      </c>
      <c r="Z40" s="16">
        <v>41.83</v>
      </c>
      <c r="AA40" s="16">
        <v>30.0</v>
      </c>
      <c r="AB40" s="16">
        <v>45.0</v>
      </c>
      <c r="AC40" s="16">
        <v>36.39</v>
      </c>
      <c r="AD40" s="16">
        <v>30.0</v>
      </c>
      <c r="AE40" s="16">
        <v>45.0</v>
      </c>
      <c r="AF40" s="16">
        <v>37.54</v>
      </c>
      <c r="AG40" s="16">
        <v>15.0</v>
      </c>
      <c r="AH40" s="16">
        <v>35.0</v>
      </c>
      <c r="AI40" s="16">
        <v>25.12</v>
      </c>
      <c r="AJ40" s="16">
        <v>20.0</v>
      </c>
      <c r="AK40" s="16">
        <v>35.0</v>
      </c>
      <c r="AL40" s="17">
        <v>25.29</v>
      </c>
      <c r="AM40" s="18">
        <f t="shared" si="1"/>
        <v>15</v>
      </c>
      <c r="AN40" s="18">
        <f t="shared" si="2"/>
        <v>140</v>
      </c>
      <c r="AO40" s="18">
        <f t="shared" si="3"/>
        <v>55.3425</v>
      </c>
    </row>
    <row r="41" ht="12.75" customHeight="1">
      <c r="A41" s="19" t="s">
        <v>57</v>
      </c>
      <c r="B41" s="15" t="s">
        <v>19</v>
      </c>
      <c r="C41" s="16">
        <v>60.0</v>
      </c>
      <c r="D41" s="16">
        <v>65.0</v>
      </c>
      <c r="E41" s="16">
        <v>62.5</v>
      </c>
      <c r="F41" s="16" t="s">
        <v>28</v>
      </c>
      <c r="G41" s="16" t="s">
        <v>28</v>
      </c>
      <c r="H41" s="16" t="s">
        <v>28</v>
      </c>
      <c r="I41" s="16" t="s">
        <v>28</v>
      </c>
      <c r="J41" s="16" t="s">
        <v>28</v>
      </c>
      <c r="K41" s="16" t="s">
        <v>28</v>
      </c>
      <c r="L41" s="16" t="s">
        <v>28</v>
      </c>
      <c r="M41" s="16" t="s">
        <v>28</v>
      </c>
      <c r="N41" s="16" t="s">
        <v>28</v>
      </c>
      <c r="O41" s="16" t="s">
        <v>28</v>
      </c>
      <c r="P41" s="16" t="s">
        <v>28</v>
      </c>
      <c r="Q41" s="16" t="s">
        <v>28</v>
      </c>
      <c r="R41" s="16" t="s">
        <v>28</v>
      </c>
      <c r="S41" s="16" t="s">
        <v>28</v>
      </c>
      <c r="T41" s="16" t="s">
        <v>28</v>
      </c>
      <c r="U41" s="16" t="s">
        <v>28</v>
      </c>
      <c r="V41" s="16" t="s">
        <v>28</v>
      </c>
      <c r="W41" s="16" t="s">
        <v>28</v>
      </c>
      <c r="X41" s="16">
        <v>50.0</v>
      </c>
      <c r="Y41" s="16">
        <v>100.0</v>
      </c>
      <c r="Z41" s="16">
        <v>82.85</v>
      </c>
      <c r="AA41" s="16">
        <v>50.0</v>
      </c>
      <c r="AB41" s="16">
        <v>70.0</v>
      </c>
      <c r="AC41" s="16">
        <v>56.55</v>
      </c>
      <c r="AD41" s="16">
        <v>50.0</v>
      </c>
      <c r="AE41" s="16">
        <v>80.0</v>
      </c>
      <c r="AF41" s="16">
        <v>63.07</v>
      </c>
      <c r="AG41" s="16">
        <v>40.0</v>
      </c>
      <c r="AH41" s="16">
        <v>75.0</v>
      </c>
      <c r="AI41" s="16">
        <v>61.59</v>
      </c>
      <c r="AJ41" s="16">
        <v>40.0</v>
      </c>
      <c r="AK41" s="16">
        <v>60.0</v>
      </c>
      <c r="AL41" s="17">
        <v>49.92</v>
      </c>
      <c r="AM41" s="18">
        <f t="shared" si="1"/>
        <v>40</v>
      </c>
      <c r="AN41" s="18">
        <f t="shared" si="2"/>
        <v>100</v>
      </c>
      <c r="AO41" s="18">
        <f t="shared" si="3"/>
        <v>62.74666667</v>
      </c>
    </row>
    <row r="42" ht="12.75" customHeight="1">
      <c r="A42" s="19" t="s">
        <v>58</v>
      </c>
      <c r="B42" s="15" t="s">
        <v>19</v>
      </c>
      <c r="C42" s="16" t="s">
        <v>28</v>
      </c>
      <c r="D42" s="16" t="s">
        <v>28</v>
      </c>
      <c r="E42" s="16" t="s">
        <v>28</v>
      </c>
      <c r="F42" s="16" t="s">
        <v>28</v>
      </c>
      <c r="G42" s="16" t="s">
        <v>28</v>
      </c>
      <c r="H42" s="16" t="s">
        <v>28</v>
      </c>
      <c r="I42" s="16" t="s">
        <v>28</v>
      </c>
      <c r="J42" s="16" t="s">
        <v>28</v>
      </c>
      <c r="K42" s="16" t="s">
        <v>28</v>
      </c>
      <c r="L42" s="16" t="s">
        <v>28</v>
      </c>
      <c r="M42" s="16" t="s">
        <v>28</v>
      </c>
      <c r="N42" s="16" t="s">
        <v>28</v>
      </c>
      <c r="O42" s="16" t="s">
        <v>28</v>
      </c>
      <c r="P42" s="16" t="s">
        <v>28</v>
      </c>
      <c r="Q42" s="16" t="s">
        <v>28</v>
      </c>
      <c r="R42" s="16" t="s">
        <v>28</v>
      </c>
      <c r="S42" s="16" t="s">
        <v>28</v>
      </c>
      <c r="T42" s="16" t="s">
        <v>28</v>
      </c>
      <c r="U42" s="16">
        <v>40.0</v>
      </c>
      <c r="V42" s="16">
        <v>50.0</v>
      </c>
      <c r="W42" s="16">
        <v>46.53</v>
      </c>
      <c r="X42" s="16">
        <v>30.0</v>
      </c>
      <c r="Y42" s="16">
        <v>50.0</v>
      </c>
      <c r="Z42" s="16">
        <v>35.78</v>
      </c>
      <c r="AA42" s="16">
        <v>25.0</v>
      </c>
      <c r="AB42" s="16">
        <v>50.0</v>
      </c>
      <c r="AC42" s="16">
        <v>33.58</v>
      </c>
      <c r="AD42" s="16">
        <v>45.0</v>
      </c>
      <c r="AE42" s="16">
        <v>60.0</v>
      </c>
      <c r="AF42" s="16">
        <v>47.74</v>
      </c>
      <c r="AG42" s="16">
        <v>40.0</v>
      </c>
      <c r="AH42" s="16">
        <v>60.0</v>
      </c>
      <c r="AI42" s="16">
        <v>51.0</v>
      </c>
      <c r="AJ42" s="16" t="s">
        <v>28</v>
      </c>
      <c r="AK42" s="16" t="s">
        <v>28</v>
      </c>
      <c r="AL42" s="17" t="s">
        <v>28</v>
      </c>
      <c r="AM42" s="18">
        <f t="shared" si="1"/>
        <v>25</v>
      </c>
      <c r="AN42" s="18">
        <f t="shared" si="2"/>
        <v>60</v>
      </c>
      <c r="AO42" s="18">
        <f t="shared" si="3"/>
        <v>42.926</v>
      </c>
    </row>
    <row r="43" ht="12.75" customHeight="1">
      <c r="A43" s="19" t="s">
        <v>59</v>
      </c>
      <c r="B43" s="15" t="s">
        <v>19</v>
      </c>
      <c r="C43" s="16">
        <v>90.0</v>
      </c>
      <c r="D43" s="16">
        <v>210.0</v>
      </c>
      <c r="E43" s="16">
        <v>147.77</v>
      </c>
      <c r="F43" s="16">
        <v>80.0</v>
      </c>
      <c r="G43" s="16">
        <v>180.0</v>
      </c>
      <c r="H43" s="16">
        <v>145.94</v>
      </c>
      <c r="I43" s="16">
        <v>90.0</v>
      </c>
      <c r="J43" s="16">
        <v>160.0</v>
      </c>
      <c r="K43" s="16">
        <v>131.67</v>
      </c>
      <c r="L43" s="16">
        <v>130.0</v>
      </c>
      <c r="M43" s="16">
        <v>180.0</v>
      </c>
      <c r="N43" s="16">
        <v>154.69</v>
      </c>
      <c r="O43" s="16">
        <v>130.0</v>
      </c>
      <c r="P43" s="16">
        <v>260.0</v>
      </c>
      <c r="Q43" s="16">
        <v>169.87</v>
      </c>
      <c r="R43" s="16">
        <v>140.0</v>
      </c>
      <c r="S43" s="16">
        <v>180.0</v>
      </c>
      <c r="T43" s="16">
        <v>164.0</v>
      </c>
      <c r="U43" s="16">
        <v>90.0</v>
      </c>
      <c r="V43" s="16">
        <v>160.0</v>
      </c>
      <c r="W43" s="16">
        <v>123.83</v>
      </c>
      <c r="X43" s="16">
        <v>100.0</v>
      </c>
      <c r="Y43" s="16">
        <v>200.0</v>
      </c>
      <c r="Z43" s="16">
        <v>135.5</v>
      </c>
      <c r="AA43" s="16">
        <v>120.0</v>
      </c>
      <c r="AB43" s="16">
        <v>160.0</v>
      </c>
      <c r="AC43" s="16">
        <v>130.29</v>
      </c>
      <c r="AD43" s="16">
        <v>70.0</v>
      </c>
      <c r="AE43" s="16">
        <v>140.0</v>
      </c>
      <c r="AF43" s="16">
        <v>99.86</v>
      </c>
      <c r="AG43" s="16">
        <v>50.0</v>
      </c>
      <c r="AH43" s="16">
        <v>140.0</v>
      </c>
      <c r="AI43" s="16">
        <v>103.91</v>
      </c>
      <c r="AJ43" s="16">
        <v>70.0</v>
      </c>
      <c r="AK43" s="16">
        <v>200.0</v>
      </c>
      <c r="AL43" s="17">
        <v>125.96</v>
      </c>
      <c r="AM43" s="18">
        <f t="shared" si="1"/>
        <v>50</v>
      </c>
      <c r="AN43" s="18">
        <f t="shared" si="2"/>
        <v>260</v>
      </c>
      <c r="AO43" s="18">
        <f t="shared" si="3"/>
        <v>136.1075</v>
      </c>
    </row>
    <row r="44" ht="12.75" customHeight="1">
      <c r="A44" s="19" t="s">
        <v>60</v>
      </c>
      <c r="B44" s="15" t="s">
        <v>19</v>
      </c>
      <c r="C44" s="16">
        <v>300.0</v>
      </c>
      <c r="D44" s="16">
        <v>450.0</v>
      </c>
      <c r="E44" s="16">
        <v>410.48</v>
      </c>
      <c r="F44" s="16">
        <v>200.0</v>
      </c>
      <c r="G44" s="16">
        <v>350.0</v>
      </c>
      <c r="H44" s="16">
        <v>281.25</v>
      </c>
      <c r="I44" s="16">
        <v>200.0</v>
      </c>
      <c r="J44" s="16">
        <v>300.0</v>
      </c>
      <c r="K44" s="16">
        <v>225.97</v>
      </c>
      <c r="L44" s="16">
        <v>200.0</v>
      </c>
      <c r="M44" s="16">
        <v>400.0</v>
      </c>
      <c r="N44" s="16">
        <v>269.52</v>
      </c>
      <c r="O44" s="16">
        <v>330.0</v>
      </c>
      <c r="P44" s="16">
        <v>400.0</v>
      </c>
      <c r="Q44" s="16">
        <v>374.09</v>
      </c>
      <c r="R44" s="16">
        <v>350.0</v>
      </c>
      <c r="S44" s="16">
        <v>400.0</v>
      </c>
      <c r="T44" s="16">
        <v>375.0</v>
      </c>
      <c r="U44" s="16" t="s">
        <v>28</v>
      </c>
      <c r="V44" s="16" t="s">
        <v>28</v>
      </c>
      <c r="W44" s="16" t="s">
        <v>28</v>
      </c>
      <c r="X44" s="16" t="s">
        <v>28</v>
      </c>
      <c r="Y44" s="16" t="s">
        <v>28</v>
      </c>
      <c r="Z44" s="16" t="s">
        <v>28</v>
      </c>
      <c r="AA44" s="16" t="s">
        <v>28</v>
      </c>
      <c r="AB44" s="16" t="s">
        <v>28</v>
      </c>
      <c r="AC44" s="16" t="s">
        <v>28</v>
      </c>
      <c r="AD44" s="16" t="s">
        <v>28</v>
      </c>
      <c r="AE44" s="16" t="s">
        <v>28</v>
      </c>
      <c r="AF44" s="16" t="s">
        <v>28</v>
      </c>
      <c r="AG44" s="16" t="s">
        <v>28</v>
      </c>
      <c r="AH44" s="16" t="s">
        <v>28</v>
      </c>
      <c r="AI44" s="16" t="s">
        <v>28</v>
      </c>
      <c r="AJ44" s="16" t="s">
        <v>28</v>
      </c>
      <c r="AK44" s="16" t="s">
        <v>28</v>
      </c>
      <c r="AL44" s="17" t="s">
        <v>28</v>
      </c>
      <c r="AM44" s="18">
        <f t="shared" si="1"/>
        <v>200</v>
      </c>
      <c r="AN44" s="18">
        <f t="shared" si="2"/>
        <v>450</v>
      </c>
      <c r="AO44" s="18">
        <f t="shared" si="3"/>
        <v>322.7183333</v>
      </c>
    </row>
    <row r="45" ht="12.75" customHeight="1">
      <c r="A45" s="19" t="s">
        <v>61</v>
      </c>
      <c r="B45" s="15" t="s">
        <v>19</v>
      </c>
      <c r="C45" s="16">
        <v>50.0</v>
      </c>
      <c r="D45" s="16">
        <v>60.0</v>
      </c>
      <c r="E45" s="16">
        <v>55.77</v>
      </c>
      <c r="F45" s="16">
        <v>50.0</v>
      </c>
      <c r="G45" s="16">
        <v>65.0</v>
      </c>
      <c r="H45" s="16">
        <v>57.58</v>
      </c>
      <c r="I45" s="16">
        <v>50.0</v>
      </c>
      <c r="J45" s="16">
        <v>70.0</v>
      </c>
      <c r="K45" s="16">
        <v>57.58</v>
      </c>
      <c r="L45" s="16">
        <v>60.0</v>
      </c>
      <c r="M45" s="16">
        <v>250.0</v>
      </c>
      <c r="N45" s="16">
        <v>78.83</v>
      </c>
      <c r="O45" s="16">
        <v>80.0</v>
      </c>
      <c r="P45" s="16">
        <v>110.0</v>
      </c>
      <c r="Q45" s="16">
        <v>87.5</v>
      </c>
      <c r="R45" s="16">
        <v>80.0</v>
      </c>
      <c r="S45" s="16">
        <v>85.0</v>
      </c>
      <c r="T45" s="16">
        <v>82.5</v>
      </c>
      <c r="U45" s="16">
        <v>60.0</v>
      </c>
      <c r="V45" s="16">
        <v>65.0</v>
      </c>
      <c r="W45" s="16">
        <v>62.5</v>
      </c>
      <c r="X45" s="16" t="s">
        <v>28</v>
      </c>
      <c r="Y45" s="16" t="s">
        <v>28</v>
      </c>
      <c r="Z45" s="16" t="s">
        <v>28</v>
      </c>
      <c r="AA45" s="16" t="s">
        <v>28</v>
      </c>
      <c r="AB45" s="16" t="s">
        <v>28</v>
      </c>
      <c r="AC45" s="16" t="s">
        <v>28</v>
      </c>
      <c r="AD45" s="16" t="s">
        <v>28</v>
      </c>
      <c r="AE45" s="16" t="s">
        <v>28</v>
      </c>
      <c r="AF45" s="16" t="s">
        <v>28</v>
      </c>
      <c r="AG45" s="16" t="s">
        <v>28</v>
      </c>
      <c r="AH45" s="16" t="s">
        <v>28</v>
      </c>
      <c r="AI45" s="16" t="s">
        <v>28</v>
      </c>
      <c r="AJ45" s="16" t="s">
        <v>28</v>
      </c>
      <c r="AK45" s="16" t="s">
        <v>28</v>
      </c>
      <c r="AL45" s="17" t="s">
        <v>28</v>
      </c>
      <c r="AM45" s="18">
        <f t="shared" si="1"/>
        <v>50</v>
      </c>
      <c r="AN45" s="18">
        <f t="shared" si="2"/>
        <v>250</v>
      </c>
      <c r="AO45" s="18">
        <f t="shared" si="3"/>
        <v>68.89428571</v>
      </c>
    </row>
    <row r="46" ht="12.75" customHeight="1">
      <c r="A46" s="19" t="s">
        <v>62</v>
      </c>
      <c r="B46" s="15" t="s">
        <v>19</v>
      </c>
      <c r="C46" s="16">
        <v>40.0</v>
      </c>
      <c r="D46" s="16">
        <v>100.0</v>
      </c>
      <c r="E46" s="16">
        <v>61.08</v>
      </c>
      <c r="F46" s="16">
        <v>50.0</v>
      </c>
      <c r="G46" s="16">
        <v>100.0</v>
      </c>
      <c r="H46" s="16">
        <v>58.98</v>
      </c>
      <c r="I46" s="16">
        <v>50.0</v>
      </c>
      <c r="J46" s="16">
        <v>80.0</v>
      </c>
      <c r="K46" s="16">
        <v>58.15</v>
      </c>
      <c r="L46" s="16">
        <v>60.0</v>
      </c>
      <c r="M46" s="16">
        <v>65.0</v>
      </c>
      <c r="N46" s="16">
        <v>62.5</v>
      </c>
      <c r="O46" s="16" t="s">
        <v>28</v>
      </c>
      <c r="P46" s="16" t="s">
        <v>28</v>
      </c>
      <c r="Q46" s="16" t="s">
        <v>28</v>
      </c>
      <c r="R46" s="16" t="s">
        <v>28</v>
      </c>
      <c r="S46" s="16" t="s">
        <v>28</v>
      </c>
      <c r="T46" s="16" t="s">
        <v>28</v>
      </c>
      <c r="U46" s="16" t="s">
        <v>28</v>
      </c>
      <c r="V46" s="16" t="s">
        <v>28</v>
      </c>
      <c r="W46" s="16" t="s">
        <v>28</v>
      </c>
      <c r="X46" s="16">
        <v>35.0</v>
      </c>
      <c r="Y46" s="16">
        <v>110.0</v>
      </c>
      <c r="Z46" s="16">
        <v>73.3</v>
      </c>
      <c r="AA46" s="16">
        <v>20.0</v>
      </c>
      <c r="AB46" s="16">
        <v>50.0</v>
      </c>
      <c r="AC46" s="16">
        <v>31.61</v>
      </c>
      <c r="AD46" s="16">
        <v>20.0</v>
      </c>
      <c r="AE46" s="16">
        <v>45.0</v>
      </c>
      <c r="AF46" s="16">
        <v>31.85</v>
      </c>
      <c r="AG46" s="16">
        <v>20.0</v>
      </c>
      <c r="AH46" s="16">
        <v>60.0</v>
      </c>
      <c r="AI46" s="16">
        <v>33.3</v>
      </c>
      <c r="AJ46" s="16">
        <v>45.0</v>
      </c>
      <c r="AK46" s="16">
        <v>75.0</v>
      </c>
      <c r="AL46" s="17">
        <v>53.4</v>
      </c>
      <c r="AM46" s="18">
        <f t="shared" si="1"/>
        <v>20</v>
      </c>
      <c r="AN46" s="18">
        <f t="shared" si="2"/>
        <v>110</v>
      </c>
      <c r="AO46" s="18">
        <f t="shared" si="3"/>
        <v>51.57444444</v>
      </c>
    </row>
    <row r="47" ht="12.75" customHeight="1">
      <c r="A47" s="19" t="s">
        <v>63</v>
      </c>
      <c r="B47" s="15" t="s">
        <v>19</v>
      </c>
      <c r="C47" s="16">
        <v>50.0</v>
      </c>
      <c r="D47" s="16">
        <v>80.0</v>
      </c>
      <c r="E47" s="16">
        <v>65.33</v>
      </c>
      <c r="F47" s="16">
        <v>60.0</v>
      </c>
      <c r="G47" s="16">
        <v>80.0</v>
      </c>
      <c r="H47" s="16">
        <v>70.31</v>
      </c>
      <c r="I47" s="16">
        <v>50.0</v>
      </c>
      <c r="J47" s="16">
        <v>70.0</v>
      </c>
      <c r="K47" s="16">
        <v>62.26</v>
      </c>
      <c r="L47" s="16">
        <v>60.0</v>
      </c>
      <c r="M47" s="16">
        <v>95.0</v>
      </c>
      <c r="N47" s="16">
        <v>73.75</v>
      </c>
      <c r="O47" s="16">
        <v>80.0</v>
      </c>
      <c r="P47" s="16">
        <v>100.0</v>
      </c>
      <c r="Q47" s="16">
        <v>87.1</v>
      </c>
      <c r="R47" s="16">
        <v>80.0</v>
      </c>
      <c r="S47" s="16">
        <v>165.0</v>
      </c>
      <c r="T47" s="16">
        <v>122.28</v>
      </c>
      <c r="U47" s="16" t="s">
        <v>28</v>
      </c>
      <c r="V47" s="16" t="s">
        <v>28</v>
      </c>
      <c r="W47" s="16" t="s">
        <v>28</v>
      </c>
      <c r="X47" s="16">
        <v>90.0</v>
      </c>
      <c r="Y47" s="16">
        <v>100.0</v>
      </c>
      <c r="Z47" s="16">
        <v>95.0</v>
      </c>
      <c r="AA47" s="16">
        <v>90.0</v>
      </c>
      <c r="AB47" s="16">
        <v>100.0</v>
      </c>
      <c r="AC47" s="16">
        <v>95.0</v>
      </c>
      <c r="AD47" s="16">
        <v>70.0</v>
      </c>
      <c r="AE47" s="16">
        <v>100.0</v>
      </c>
      <c r="AF47" s="16">
        <v>93.62</v>
      </c>
      <c r="AG47" s="16">
        <v>60.0</v>
      </c>
      <c r="AH47" s="16">
        <v>100.0</v>
      </c>
      <c r="AI47" s="16">
        <v>72.78</v>
      </c>
      <c r="AJ47" s="16">
        <v>60.0</v>
      </c>
      <c r="AK47" s="16">
        <v>70.0</v>
      </c>
      <c r="AL47" s="17">
        <v>65.0</v>
      </c>
      <c r="AM47" s="18">
        <f t="shared" si="1"/>
        <v>50</v>
      </c>
      <c r="AN47" s="18">
        <f t="shared" si="2"/>
        <v>165</v>
      </c>
      <c r="AO47" s="18">
        <f t="shared" si="3"/>
        <v>82.03909091</v>
      </c>
    </row>
    <row r="48" ht="12.75" customHeight="1">
      <c r="A48" s="19" t="s">
        <v>64</v>
      </c>
      <c r="B48" s="15" t="s">
        <v>19</v>
      </c>
      <c r="C48" s="16">
        <v>50.0</v>
      </c>
      <c r="D48" s="16">
        <v>80.0</v>
      </c>
      <c r="E48" s="16">
        <v>66.13</v>
      </c>
      <c r="F48" s="16" t="s">
        <v>28</v>
      </c>
      <c r="G48" s="16" t="s">
        <v>28</v>
      </c>
      <c r="H48" s="16" t="s">
        <v>28</v>
      </c>
      <c r="I48" s="16" t="s">
        <v>28</v>
      </c>
      <c r="J48" s="16" t="s">
        <v>28</v>
      </c>
      <c r="K48" s="16" t="s">
        <v>28</v>
      </c>
      <c r="L48" s="16" t="s">
        <v>28</v>
      </c>
      <c r="M48" s="16" t="s">
        <v>28</v>
      </c>
      <c r="N48" s="16" t="s">
        <v>28</v>
      </c>
      <c r="O48" s="16" t="s">
        <v>28</v>
      </c>
      <c r="P48" s="16" t="s">
        <v>28</v>
      </c>
      <c r="Q48" s="16" t="s">
        <v>28</v>
      </c>
      <c r="R48" s="16" t="s">
        <v>28</v>
      </c>
      <c r="S48" s="16" t="s">
        <v>28</v>
      </c>
      <c r="T48" s="16" t="s">
        <v>28</v>
      </c>
      <c r="U48" s="16" t="s">
        <v>28</v>
      </c>
      <c r="V48" s="16" t="s">
        <v>28</v>
      </c>
      <c r="W48" s="16" t="s">
        <v>28</v>
      </c>
      <c r="X48" s="16" t="s">
        <v>28</v>
      </c>
      <c r="Y48" s="16" t="s">
        <v>28</v>
      </c>
      <c r="Z48" s="16" t="s">
        <v>28</v>
      </c>
      <c r="AA48" s="16" t="s">
        <v>28</v>
      </c>
      <c r="AB48" s="16" t="s">
        <v>28</v>
      </c>
      <c r="AC48" s="16" t="s">
        <v>28</v>
      </c>
      <c r="AD48" s="16" t="s">
        <v>28</v>
      </c>
      <c r="AE48" s="16" t="s">
        <v>28</v>
      </c>
      <c r="AF48" s="16" t="s">
        <v>28</v>
      </c>
      <c r="AG48" s="16" t="s">
        <v>28</v>
      </c>
      <c r="AH48" s="16" t="s">
        <v>28</v>
      </c>
      <c r="AI48" s="16" t="s">
        <v>28</v>
      </c>
      <c r="AJ48" s="16">
        <v>100.0</v>
      </c>
      <c r="AK48" s="16">
        <v>200.0</v>
      </c>
      <c r="AL48" s="17">
        <v>132.07</v>
      </c>
      <c r="AM48" s="18">
        <f t="shared" si="1"/>
        <v>50</v>
      </c>
      <c r="AN48" s="18">
        <f t="shared" si="2"/>
        <v>200</v>
      </c>
      <c r="AO48" s="18">
        <f t="shared" si="3"/>
        <v>99.1</v>
      </c>
    </row>
    <row r="49" ht="12.75" customHeight="1">
      <c r="A49" s="19" t="s">
        <v>65</v>
      </c>
      <c r="B49" s="15" t="s">
        <v>19</v>
      </c>
      <c r="C49" s="16">
        <v>120.0</v>
      </c>
      <c r="D49" s="16">
        <v>130.0</v>
      </c>
      <c r="E49" s="16">
        <v>125.0</v>
      </c>
      <c r="F49" s="16" t="s">
        <v>28</v>
      </c>
      <c r="G49" s="16" t="s">
        <v>28</v>
      </c>
      <c r="H49" s="16" t="s">
        <v>28</v>
      </c>
      <c r="I49" s="16" t="s">
        <v>28</v>
      </c>
      <c r="J49" s="16" t="s">
        <v>28</v>
      </c>
      <c r="K49" s="16" t="s">
        <v>28</v>
      </c>
      <c r="L49" s="16" t="s">
        <v>28</v>
      </c>
      <c r="M49" s="16" t="s">
        <v>28</v>
      </c>
      <c r="N49" s="16" t="s">
        <v>28</v>
      </c>
      <c r="O49" s="16" t="s">
        <v>28</v>
      </c>
      <c r="P49" s="16" t="s">
        <v>28</v>
      </c>
      <c r="Q49" s="16" t="s">
        <v>28</v>
      </c>
      <c r="R49" s="16" t="s">
        <v>28</v>
      </c>
      <c r="S49" s="16" t="s">
        <v>28</v>
      </c>
      <c r="T49" s="16" t="s">
        <v>28</v>
      </c>
      <c r="U49" s="16" t="s">
        <v>28</v>
      </c>
      <c r="V49" s="16" t="s">
        <v>28</v>
      </c>
      <c r="W49" s="16" t="s">
        <v>28</v>
      </c>
      <c r="X49" s="16" t="s">
        <v>28</v>
      </c>
      <c r="Y49" s="16" t="s">
        <v>28</v>
      </c>
      <c r="Z49" s="16" t="s">
        <v>28</v>
      </c>
      <c r="AA49" s="16" t="s">
        <v>28</v>
      </c>
      <c r="AB49" s="16" t="s">
        <v>28</v>
      </c>
      <c r="AC49" s="16" t="s">
        <v>28</v>
      </c>
      <c r="AD49" s="16" t="s">
        <v>28</v>
      </c>
      <c r="AE49" s="16" t="s">
        <v>28</v>
      </c>
      <c r="AF49" s="16" t="s">
        <v>28</v>
      </c>
      <c r="AG49" s="16">
        <v>90.0</v>
      </c>
      <c r="AH49" s="16">
        <v>120.0</v>
      </c>
      <c r="AI49" s="16">
        <v>102.08</v>
      </c>
      <c r="AJ49" s="16">
        <v>90.0</v>
      </c>
      <c r="AK49" s="16">
        <v>190.0</v>
      </c>
      <c r="AL49" s="17">
        <v>121.61</v>
      </c>
      <c r="AM49" s="18">
        <f t="shared" si="1"/>
        <v>90</v>
      </c>
      <c r="AN49" s="18">
        <f t="shared" si="2"/>
        <v>190</v>
      </c>
      <c r="AO49" s="18">
        <f t="shared" si="3"/>
        <v>116.23</v>
      </c>
    </row>
    <row r="50" ht="12.75" customHeight="1">
      <c r="A50" s="14" t="s">
        <v>66</v>
      </c>
      <c r="B50" s="15" t="s">
        <v>19</v>
      </c>
      <c r="C50" s="16">
        <v>60.0</v>
      </c>
      <c r="D50" s="16">
        <v>80.0</v>
      </c>
      <c r="E50" s="16">
        <v>69.83</v>
      </c>
      <c r="F50" s="16">
        <v>60.0</v>
      </c>
      <c r="G50" s="16">
        <v>80.0</v>
      </c>
      <c r="H50" s="16">
        <v>69.69</v>
      </c>
      <c r="I50" s="16">
        <v>50.0</v>
      </c>
      <c r="J50" s="16">
        <v>70.0</v>
      </c>
      <c r="K50" s="16">
        <v>62.42</v>
      </c>
      <c r="L50" s="16">
        <v>60.0</v>
      </c>
      <c r="M50" s="16">
        <v>95.0</v>
      </c>
      <c r="N50" s="16">
        <v>73.75</v>
      </c>
      <c r="O50" s="16">
        <v>80.0</v>
      </c>
      <c r="P50" s="16">
        <v>100.0</v>
      </c>
      <c r="Q50" s="16">
        <v>87.1</v>
      </c>
      <c r="R50" s="16">
        <v>80.0</v>
      </c>
      <c r="S50" s="16">
        <v>85.0</v>
      </c>
      <c r="T50" s="16">
        <v>82.5</v>
      </c>
      <c r="U50" s="16">
        <v>80.0</v>
      </c>
      <c r="V50" s="16">
        <v>85.0</v>
      </c>
      <c r="W50" s="16">
        <v>82.5</v>
      </c>
      <c r="X50" s="16" t="s">
        <v>28</v>
      </c>
      <c r="Y50" s="16" t="s">
        <v>28</v>
      </c>
      <c r="Z50" s="16" t="s">
        <v>28</v>
      </c>
      <c r="AA50" s="16">
        <v>50.0</v>
      </c>
      <c r="AB50" s="16">
        <v>55.0</v>
      </c>
      <c r="AC50" s="16">
        <v>52.5</v>
      </c>
      <c r="AD50" s="16">
        <v>50.0</v>
      </c>
      <c r="AE50" s="16">
        <v>55.0</v>
      </c>
      <c r="AF50" s="16">
        <v>52.5</v>
      </c>
      <c r="AG50" s="16">
        <v>50.0</v>
      </c>
      <c r="AH50" s="16">
        <v>60.0</v>
      </c>
      <c r="AI50" s="16">
        <v>53.52</v>
      </c>
      <c r="AJ50" s="16">
        <v>50.0</v>
      </c>
      <c r="AK50" s="16">
        <v>60.0</v>
      </c>
      <c r="AL50" s="17">
        <v>53.39</v>
      </c>
      <c r="AM50" s="18">
        <f t="shared" si="1"/>
        <v>50</v>
      </c>
      <c r="AN50" s="18">
        <f t="shared" si="2"/>
        <v>100</v>
      </c>
      <c r="AO50" s="18">
        <f t="shared" si="3"/>
        <v>67.24545455</v>
      </c>
    </row>
    <row r="51" ht="12.75" customHeight="1">
      <c r="A51" s="19" t="s">
        <v>67</v>
      </c>
      <c r="B51" s="15" t="s">
        <v>19</v>
      </c>
      <c r="C51" s="16">
        <v>60.0</v>
      </c>
      <c r="D51" s="16">
        <v>80.0</v>
      </c>
      <c r="E51" s="16">
        <v>72.26</v>
      </c>
      <c r="F51" s="16">
        <v>60.0</v>
      </c>
      <c r="G51" s="16">
        <v>80.0</v>
      </c>
      <c r="H51" s="16">
        <v>69.69</v>
      </c>
      <c r="I51" s="16">
        <v>40.0</v>
      </c>
      <c r="J51" s="16">
        <v>65.0</v>
      </c>
      <c r="K51" s="16">
        <v>47.34</v>
      </c>
      <c r="L51" s="16">
        <v>45.0</v>
      </c>
      <c r="M51" s="16">
        <v>85.0</v>
      </c>
      <c r="N51" s="16">
        <v>60.63</v>
      </c>
      <c r="O51" s="16">
        <v>70.0</v>
      </c>
      <c r="P51" s="16">
        <v>90.0</v>
      </c>
      <c r="Q51" s="16">
        <v>77.1</v>
      </c>
      <c r="R51" s="16">
        <v>60.0</v>
      </c>
      <c r="S51" s="16">
        <v>80.0</v>
      </c>
      <c r="T51" s="16">
        <v>67.67</v>
      </c>
      <c r="U51" s="16">
        <v>50.0</v>
      </c>
      <c r="V51" s="16">
        <v>65.0</v>
      </c>
      <c r="W51" s="16">
        <v>61.83</v>
      </c>
      <c r="X51" s="16">
        <v>60.0</v>
      </c>
      <c r="Y51" s="16">
        <v>65.0</v>
      </c>
      <c r="Z51" s="16">
        <v>62.5</v>
      </c>
      <c r="AA51" s="16">
        <v>30.0</v>
      </c>
      <c r="AB51" s="16">
        <v>65.0</v>
      </c>
      <c r="AC51" s="16">
        <v>46.72</v>
      </c>
      <c r="AD51" s="16">
        <v>30.0</v>
      </c>
      <c r="AE51" s="16">
        <v>45.0</v>
      </c>
      <c r="AF51" s="16">
        <v>41.9</v>
      </c>
      <c r="AG51" s="16">
        <v>35.0</v>
      </c>
      <c r="AH51" s="16">
        <v>40.0</v>
      </c>
      <c r="AI51" s="16">
        <v>37.5</v>
      </c>
      <c r="AJ51" s="16">
        <v>35.0</v>
      </c>
      <c r="AK51" s="16">
        <v>50.0</v>
      </c>
      <c r="AL51" s="17">
        <v>42.34</v>
      </c>
      <c r="AM51" s="18">
        <f t="shared" si="1"/>
        <v>30</v>
      </c>
      <c r="AN51" s="18">
        <f t="shared" si="2"/>
        <v>90</v>
      </c>
      <c r="AO51" s="18">
        <f t="shared" si="3"/>
        <v>57.29</v>
      </c>
    </row>
    <row r="52" ht="12.75" customHeight="1">
      <c r="A52" s="14" t="s">
        <v>68</v>
      </c>
      <c r="B52" s="15" t="s">
        <v>19</v>
      </c>
      <c r="C52" s="16">
        <v>50.0</v>
      </c>
      <c r="D52" s="16">
        <v>80.0</v>
      </c>
      <c r="E52" s="16">
        <v>68.39</v>
      </c>
      <c r="F52" s="16">
        <v>60.0</v>
      </c>
      <c r="G52" s="16">
        <v>80.0</v>
      </c>
      <c r="H52" s="16">
        <v>69.69</v>
      </c>
      <c r="I52" s="16">
        <v>40.0</v>
      </c>
      <c r="J52" s="16">
        <v>65.0</v>
      </c>
      <c r="K52" s="16">
        <v>47.34</v>
      </c>
      <c r="L52" s="16">
        <v>45.0</v>
      </c>
      <c r="M52" s="16">
        <v>85.0</v>
      </c>
      <c r="N52" s="16">
        <v>60.63</v>
      </c>
      <c r="O52" s="16">
        <v>50.0</v>
      </c>
      <c r="P52" s="16">
        <v>85.0</v>
      </c>
      <c r="Q52" s="16">
        <v>67.98</v>
      </c>
      <c r="R52" s="16">
        <v>50.0</v>
      </c>
      <c r="S52" s="16">
        <v>65.0</v>
      </c>
      <c r="T52" s="16">
        <v>57.72</v>
      </c>
      <c r="U52" s="16" t="s">
        <v>28</v>
      </c>
      <c r="V52" s="16" t="s">
        <v>28</v>
      </c>
      <c r="W52" s="16" t="s">
        <v>28</v>
      </c>
      <c r="X52" s="16">
        <v>40.0</v>
      </c>
      <c r="Y52" s="16">
        <v>45.0</v>
      </c>
      <c r="Z52" s="16">
        <v>42.5</v>
      </c>
      <c r="AA52" s="16">
        <v>25.0</v>
      </c>
      <c r="AB52" s="16">
        <v>45.0</v>
      </c>
      <c r="AC52" s="16">
        <v>36.29</v>
      </c>
      <c r="AD52" s="16">
        <v>30.0</v>
      </c>
      <c r="AE52" s="16">
        <v>100.0</v>
      </c>
      <c r="AF52" s="16">
        <v>37.59</v>
      </c>
      <c r="AG52" s="16">
        <v>30.0</v>
      </c>
      <c r="AH52" s="16">
        <v>40.0</v>
      </c>
      <c r="AI52" s="16">
        <v>33.06</v>
      </c>
      <c r="AJ52" s="16">
        <v>35.0</v>
      </c>
      <c r="AK52" s="16">
        <v>50.0</v>
      </c>
      <c r="AL52" s="17">
        <v>40.56</v>
      </c>
      <c r="AM52" s="18">
        <f t="shared" si="1"/>
        <v>25</v>
      </c>
      <c r="AN52" s="18">
        <f t="shared" si="2"/>
        <v>100</v>
      </c>
      <c r="AO52" s="18">
        <f t="shared" si="3"/>
        <v>51.06818182</v>
      </c>
    </row>
    <row r="53" ht="12.75" customHeight="1">
      <c r="A53" s="25" t="s">
        <v>69</v>
      </c>
      <c r="B53" s="15" t="s">
        <v>19</v>
      </c>
      <c r="C53" s="16">
        <v>90.0</v>
      </c>
      <c r="D53" s="16">
        <v>110.0</v>
      </c>
      <c r="E53" s="16">
        <v>100.81</v>
      </c>
      <c r="F53" s="16">
        <v>90.0</v>
      </c>
      <c r="G53" s="16">
        <v>110.0</v>
      </c>
      <c r="H53" s="16">
        <v>102.19</v>
      </c>
      <c r="I53" s="16">
        <v>90.0</v>
      </c>
      <c r="J53" s="16">
        <v>100.0</v>
      </c>
      <c r="K53" s="16">
        <v>95.0</v>
      </c>
      <c r="L53" s="16">
        <v>90.0</v>
      </c>
      <c r="M53" s="16">
        <v>100.0</v>
      </c>
      <c r="N53" s="16">
        <v>95.0</v>
      </c>
      <c r="O53" s="16">
        <v>90.0</v>
      </c>
      <c r="P53" s="16">
        <v>330.0</v>
      </c>
      <c r="Q53" s="16">
        <v>102.15</v>
      </c>
      <c r="R53" s="16">
        <v>90.0</v>
      </c>
      <c r="S53" s="16">
        <v>100.0</v>
      </c>
      <c r="T53" s="16">
        <v>95.0</v>
      </c>
      <c r="U53" s="16">
        <v>90.0</v>
      </c>
      <c r="V53" s="16">
        <v>100.0</v>
      </c>
      <c r="W53" s="16">
        <v>95.0</v>
      </c>
      <c r="X53" s="16">
        <v>90.0</v>
      </c>
      <c r="Y53" s="16">
        <v>100.0</v>
      </c>
      <c r="Z53" s="16">
        <v>95.0</v>
      </c>
      <c r="AA53" s="16">
        <v>40.0</v>
      </c>
      <c r="AB53" s="16">
        <v>100.0</v>
      </c>
      <c r="AC53" s="16">
        <v>93.19</v>
      </c>
      <c r="AD53" s="16">
        <v>90.0</v>
      </c>
      <c r="AE53" s="16">
        <v>100.0</v>
      </c>
      <c r="AF53" s="16">
        <v>95.0</v>
      </c>
      <c r="AG53" s="16">
        <v>90.0</v>
      </c>
      <c r="AH53" s="16">
        <v>100.0</v>
      </c>
      <c r="AI53" s="16">
        <v>95.0</v>
      </c>
      <c r="AJ53" s="16">
        <v>90.0</v>
      </c>
      <c r="AK53" s="16">
        <v>110.0</v>
      </c>
      <c r="AL53" s="17">
        <v>95.32</v>
      </c>
      <c r="AM53" s="18">
        <f t="shared" si="1"/>
        <v>40</v>
      </c>
      <c r="AN53" s="18">
        <f t="shared" si="2"/>
        <v>330</v>
      </c>
      <c r="AO53" s="18">
        <f t="shared" si="3"/>
        <v>96.555</v>
      </c>
    </row>
    <row r="54" ht="12.75" customHeight="1">
      <c r="A54" s="19" t="s">
        <v>70</v>
      </c>
      <c r="B54" s="15" t="s">
        <v>19</v>
      </c>
      <c r="C54" s="16">
        <v>90.0</v>
      </c>
      <c r="D54" s="16">
        <v>110.0</v>
      </c>
      <c r="E54" s="16">
        <v>100.75</v>
      </c>
      <c r="F54" s="16">
        <v>90.0</v>
      </c>
      <c r="G54" s="16">
        <v>120.0</v>
      </c>
      <c r="H54" s="16">
        <v>102.5</v>
      </c>
      <c r="I54" s="16">
        <v>90.0</v>
      </c>
      <c r="J54" s="16">
        <v>100.0</v>
      </c>
      <c r="K54" s="16">
        <v>95.0</v>
      </c>
      <c r="L54" s="16">
        <v>90.0</v>
      </c>
      <c r="M54" s="16">
        <v>100.0</v>
      </c>
      <c r="N54" s="16">
        <v>95.05</v>
      </c>
      <c r="O54" s="16">
        <v>90.0</v>
      </c>
      <c r="P54" s="16">
        <v>900.0</v>
      </c>
      <c r="Q54" s="16">
        <v>119.35</v>
      </c>
      <c r="R54" s="16">
        <v>90.0</v>
      </c>
      <c r="S54" s="16">
        <v>100.0</v>
      </c>
      <c r="T54" s="16">
        <v>95.0</v>
      </c>
      <c r="U54" s="16">
        <v>90.0</v>
      </c>
      <c r="V54" s="16">
        <v>100.0</v>
      </c>
      <c r="W54" s="16">
        <v>95.0</v>
      </c>
      <c r="X54" s="16">
        <v>90.0</v>
      </c>
      <c r="Y54" s="16">
        <v>100.0</v>
      </c>
      <c r="Z54" s="16">
        <v>95.0</v>
      </c>
      <c r="AA54" s="16">
        <v>90.0</v>
      </c>
      <c r="AB54" s="16">
        <v>100.0</v>
      </c>
      <c r="AC54" s="16">
        <v>95.0</v>
      </c>
      <c r="AD54" s="16">
        <v>90.0</v>
      </c>
      <c r="AE54" s="16">
        <v>100.0</v>
      </c>
      <c r="AF54" s="16">
        <v>95.0</v>
      </c>
      <c r="AG54" s="16">
        <v>90.0</v>
      </c>
      <c r="AH54" s="16">
        <v>100.0</v>
      </c>
      <c r="AI54" s="16">
        <v>95.0</v>
      </c>
      <c r="AJ54" s="16">
        <v>90.0</v>
      </c>
      <c r="AK54" s="16">
        <v>110.0</v>
      </c>
      <c r="AL54" s="17">
        <v>95.32</v>
      </c>
      <c r="AM54" s="18">
        <f t="shared" si="1"/>
        <v>90</v>
      </c>
      <c r="AN54" s="18">
        <f t="shared" si="2"/>
        <v>900</v>
      </c>
      <c r="AO54" s="18">
        <f t="shared" si="3"/>
        <v>98.16416667</v>
      </c>
    </row>
    <row r="55" ht="12.75" customHeight="1">
      <c r="A55" s="14" t="s">
        <v>71</v>
      </c>
      <c r="B55" s="15" t="s">
        <v>19</v>
      </c>
      <c r="C55" s="16">
        <v>60.0</v>
      </c>
      <c r="D55" s="16">
        <v>80.0</v>
      </c>
      <c r="E55" s="16">
        <v>71.37</v>
      </c>
      <c r="F55" s="16">
        <v>60.0</v>
      </c>
      <c r="G55" s="16">
        <v>80.0</v>
      </c>
      <c r="H55" s="16">
        <v>69.69</v>
      </c>
      <c r="I55" s="16">
        <v>40.0</v>
      </c>
      <c r="J55" s="16">
        <v>65.0</v>
      </c>
      <c r="K55" s="16">
        <v>47.34</v>
      </c>
      <c r="L55" s="16">
        <v>45.0</v>
      </c>
      <c r="M55" s="16">
        <v>85.0</v>
      </c>
      <c r="N55" s="16">
        <v>60.63</v>
      </c>
      <c r="O55" s="16">
        <v>50.0</v>
      </c>
      <c r="P55" s="16">
        <v>100.0</v>
      </c>
      <c r="Q55" s="16">
        <v>77.66</v>
      </c>
      <c r="R55" s="16">
        <v>60.0</v>
      </c>
      <c r="S55" s="16">
        <v>75.0</v>
      </c>
      <c r="T55" s="16">
        <v>67.5</v>
      </c>
      <c r="U55" s="16">
        <v>50.0</v>
      </c>
      <c r="V55" s="16">
        <v>65.0</v>
      </c>
      <c r="W55" s="16">
        <v>61.83</v>
      </c>
      <c r="X55" s="16">
        <v>60.0</v>
      </c>
      <c r="Y55" s="16">
        <v>100.0</v>
      </c>
      <c r="Z55" s="16">
        <v>65.75</v>
      </c>
      <c r="AA55" s="16">
        <v>60.0</v>
      </c>
      <c r="AB55" s="16">
        <v>100.0</v>
      </c>
      <c r="AC55" s="16">
        <v>74.66</v>
      </c>
      <c r="AD55" s="16">
        <v>35.0</v>
      </c>
      <c r="AE55" s="16">
        <v>70.0</v>
      </c>
      <c r="AF55" s="16">
        <v>61.64</v>
      </c>
      <c r="AG55" s="16">
        <v>35.0</v>
      </c>
      <c r="AH55" s="16">
        <v>40.0</v>
      </c>
      <c r="AI55" s="16">
        <v>37.5</v>
      </c>
      <c r="AJ55" s="16">
        <v>35.0</v>
      </c>
      <c r="AK55" s="16">
        <v>50.0</v>
      </c>
      <c r="AL55" s="17">
        <v>42.34</v>
      </c>
      <c r="AM55" s="18">
        <f t="shared" si="1"/>
        <v>35</v>
      </c>
      <c r="AN55" s="18">
        <f t="shared" si="2"/>
        <v>100</v>
      </c>
      <c r="AO55" s="18">
        <f t="shared" si="3"/>
        <v>61.4925</v>
      </c>
    </row>
    <row r="56" ht="12.75" customHeight="1">
      <c r="A56" s="14" t="s">
        <v>72</v>
      </c>
      <c r="B56" s="15" t="s">
        <v>19</v>
      </c>
      <c r="C56" s="16">
        <v>60.0</v>
      </c>
      <c r="D56" s="16">
        <v>80.0</v>
      </c>
      <c r="E56" s="16">
        <v>72.42</v>
      </c>
      <c r="F56" s="16">
        <v>60.0</v>
      </c>
      <c r="G56" s="16">
        <v>80.0</v>
      </c>
      <c r="H56" s="16">
        <v>69.92</v>
      </c>
      <c r="I56" s="16">
        <v>50.0</v>
      </c>
      <c r="J56" s="16">
        <v>70.0</v>
      </c>
      <c r="K56" s="16">
        <v>62.42</v>
      </c>
      <c r="L56" s="16">
        <v>60.0</v>
      </c>
      <c r="M56" s="16">
        <v>95.0</v>
      </c>
      <c r="N56" s="16">
        <v>73.75</v>
      </c>
      <c r="O56" s="16">
        <v>80.0</v>
      </c>
      <c r="P56" s="16">
        <v>95.0</v>
      </c>
      <c r="Q56" s="16">
        <v>87.02</v>
      </c>
      <c r="R56" s="16">
        <v>80.0</v>
      </c>
      <c r="S56" s="16">
        <v>85.0</v>
      </c>
      <c r="T56" s="16">
        <v>82.5</v>
      </c>
      <c r="U56" s="16">
        <v>60.0</v>
      </c>
      <c r="V56" s="16">
        <v>85.0</v>
      </c>
      <c r="W56" s="16">
        <v>77.33</v>
      </c>
      <c r="X56" s="16">
        <v>60.0</v>
      </c>
      <c r="Y56" s="16">
        <v>100.0</v>
      </c>
      <c r="Z56" s="16">
        <v>65.75</v>
      </c>
      <c r="AA56" s="16">
        <v>70.0</v>
      </c>
      <c r="AB56" s="16">
        <v>100.0</v>
      </c>
      <c r="AC56" s="16">
        <v>93.45</v>
      </c>
      <c r="AD56" s="16">
        <v>90.0</v>
      </c>
      <c r="AE56" s="16">
        <v>110.0</v>
      </c>
      <c r="AF56" s="16">
        <v>95.34</v>
      </c>
      <c r="AG56" s="16">
        <v>90.0</v>
      </c>
      <c r="AH56" s="16">
        <v>100.0</v>
      </c>
      <c r="AI56" s="16">
        <v>95.0</v>
      </c>
      <c r="AJ56" s="16">
        <v>90.0</v>
      </c>
      <c r="AK56" s="16">
        <v>110.0</v>
      </c>
      <c r="AL56" s="17">
        <v>95.32</v>
      </c>
      <c r="AM56" s="18">
        <f t="shared" si="1"/>
        <v>50</v>
      </c>
      <c r="AN56" s="18">
        <f t="shared" si="2"/>
        <v>110</v>
      </c>
      <c r="AO56" s="18">
        <f t="shared" si="3"/>
        <v>80.85166667</v>
      </c>
    </row>
    <row r="57" ht="12.75" customHeight="1">
      <c r="A57" s="19" t="s">
        <v>73</v>
      </c>
      <c r="B57" s="26" t="s">
        <v>19</v>
      </c>
      <c r="C57" s="16">
        <v>50.0</v>
      </c>
      <c r="D57" s="16">
        <v>80.0</v>
      </c>
      <c r="E57" s="16">
        <v>71.13</v>
      </c>
      <c r="F57" s="16">
        <v>60.0</v>
      </c>
      <c r="G57" s="16">
        <v>80.0</v>
      </c>
      <c r="H57" s="16">
        <v>69.69</v>
      </c>
      <c r="I57" s="16">
        <v>40.0</v>
      </c>
      <c r="J57" s="16">
        <v>65.0</v>
      </c>
      <c r="K57" s="16">
        <v>47.34</v>
      </c>
      <c r="L57" s="16">
        <v>45.0</v>
      </c>
      <c r="M57" s="16">
        <v>85.0</v>
      </c>
      <c r="N57" s="16">
        <v>60.63</v>
      </c>
      <c r="O57" s="16">
        <v>50.0</v>
      </c>
      <c r="P57" s="16">
        <v>100.0</v>
      </c>
      <c r="Q57" s="16">
        <v>70.86</v>
      </c>
      <c r="R57" s="16">
        <v>50.0</v>
      </c>
      <c r="S57" s="16">
        <v>65.0</v>
      </c>
      <c r="T57" s="16">
        <v>56.83</v>
      </c>
      <c r="U57" s="16">
        <v>40.0</v>
      </c>
      <c r="V57" s="16">
        <v>60.0</v>
      </c>
      <c r="W57" s="16">
        <v>49.75</v>
      </c>
      <c r="X57" s="16">
        <v>40.0</v>
      </c>
      <c r="Y57" s="16">
        <v>45.0</v>
      </c>
      <c r="Z57" s="16">
        <v>42.5</v>
      </c>
      <c r="AA57" s="16">
        <v>30.0</v>
      </c>
      <c r="AB57" s="16">
        <v>45.0</v>
      </c>
      <c r="AC57" s="16">
        <v>36.13</v>
      </c>
      <c r="AD57" s="16">
        <v>30.0</v>
      </c>
      <c r="AE57" s="16">
        <v>40.0</v>
      </c>
      <c r="AF57" s="16">
        <v>36.72</v>
      </c>
      <c r="AG57" s="16">
        <v>30.0</v>
      </c>
      <c r="AH57" s="16">
        <v>40.0</v>
      </c>
      <c r="AI57" s="16">
        <v>33.43</v>
      </c>
      <c r="AJ57" s="16">
        <v>35.0</v>
      </c>
      <c r="AK57" s="16">
        <v>45.0</v>
      </c>
      <c r="AL57" s="17">
        <v>39.92</v>
      </c>
      <c r="AM57" s="18">
        <f t="shared" si="1"/>
        <v>30</v>
      </c>
      <c r="AN57" s="18">
        <f t="shared" si="2"/>
        <v>100</v>
      </c>
      <c r="AO57" s="18">
        <f t="shared" si="3"/>
        <v>51.24416667</v>
      </c>
    </row>
    <row r="58" ht="12.75" customHeight="1">
      <c r="A58" s="19" t="s">
        <v>74</v>
      </c>
      <c r="B58" s="15" t="s">
        <v>19</v>
      </c>
      <c r="C58" s="16">
        <v>90.0</v>
      </c>
      <c r="D58" s="16">
        <v>100.0</v>
      </c>
      <c r="E58" s="16">
        <v>95.0</v>
      </c>
      <c r="F58" s="16">
        <v>90.0</v>
      </c>
      <c r="G58" s="16">
        <v>100.0</v>
      </c>
      <c r="H58" s="16">
        <v>95.0</v>
      </c>
      <c r="I58" s="16">
        <v>90.0</v>
      </c>
      <c r="J58" s="16">
        <v>100.0</v>
      </c>
      <c r="K58" s="16">
        <v>95.0</v>
      </c>
      <c r="L58" s="16">
        <v>90.0</v>
      </c>
      <c r="M58" s="16">
        <v>100.0</v>
      </c>
      <c r="N58" s="16">
        <v>95.0</v>
      </c>
      <c r="O58" s="16">
        <v>90.0</v>
      </c>
      <c r="P58" s="16">
        <v>100.0</v>
      </c>
      <c r="Q58" s="16">
        <v>95.0</v>
      </c>
      <c r="R58" s="16">
        <v>90.0</v>
      </c>
      <c r="S58" s="16">
        <v>100.0</v>
      </c>
      <c r="T58" s="16">
        <v>95.0</v>
      </c>
      <c r="U58" s="16">
        <v>90.0</v>
      </c>
      <c r="V58" s="16">
        <v>100.0</v>
      </c>
      <c r="W58" s="16">
        <v>95.0</v>
      </c>
      <c r="X58" s="16">
        <v>90.0</v>
      </c>
      <c r="Y58" s="16">
        <v>100.0</v>
      </c>
      <c r="Z58" s="16">
        <v>95.0</v>
      </c>
      <c r="AA58" s="16">
        <v>90.0</v>
      </c>
      <c r="AB58" s="16">
        <v>100.0</v>
      </c>
      <c r="AC58" s="16">
        <v>95.0</v>
      </c>
      <c r="AD58" s="16">
        <v>90.0</v>
      </c>
      <c r="AE58" s="16">
        <v>110.0</v>
      </c>
      <c r="AF58" s="16">
        <v>96.03</v>
      </c>
      <c r="AG58" s="16">
        <v>90.0</v>
      </c>
      <c r="AH58" s="16">
        <v>110.0</v>
      </c>
      <c r="AI58" s="16">
        <v>104.63</v>
      </c>
      <c r="AJ58" s="16">
        <v>100.0</v>
      </c>
      <c r="AK58" s="16">
        <v>110.0</v>
      </c>
      <c r="AL58" s="17">
        <v>105.0</v>
      </c>
      <c r="AM58" s="18">
        <f t="shared" si="1"/>
        <v>90</v>
      </c>
      <c r="AN58" s="18">
        <f t="shared" si="2"/>
        <v>110</v>
      </c>
      <c r="AO58" s="18">
        <f t="shared" si="3"/>
        <v>96.72166667</v>
      </c>
    </row>
    <row r="59" ht="12.75" customHeight="1">
      <c r="A59" s="19" t="s">
        <v>75</v>
      </c>
      <c r="B59" s="15" t="s">
        <v>19</v>
      </c>
      <c r="C59" s="16">
        <v>120.0</v>
      </c>
      <c r="D59" s="16">
        <v>160.0</v>
      </c>
      <c r="E59" s="16">
        <v>139.52</v>
      </c>
      <c r="F59" s="16">
        <v>130.0</v>
      </c>
      <c r="G59" s="16">
        <v>140.0</v>
      </c>
      <c r="H59" s="16">
        <v>135.0</v>
      </c>
      <c r="I59" s="16">
        <v>130.0</v>
      </c>
      <c r="J59" s="16">
        <v>140.0</v>
      </c>
      <c r="K59" s="16">
        <v>135.0</v>
      </c>
      <c r="L59" s="16">
        <v>120.0</v>
      </c>
      <c r="M59" s="16">
        <v>140.0</v>
      </c>
      <c r="N59" s="16">
        <v>126.25</v>
      </c>
      <c r="O59" s="16">
        <v>80.0</v>
      </c>
      <c r="P59" s="16">
        <v>140.0</v>
      </c>
      <c r="Q59" s="16">
        <v>124.19</v>
      </c>
      <c r="R59" s="16">
        <v>120.0</v>
      </c>
      <c r="S59" s="16">
        <v>130.0</v>
      </c>
      <c r="T59" s="16">
        <v>125.0</v>
      </c>
      <c r="U59" s="16">
        <v>120.0</v>
      </c>
      <c r="V59" s="16">
        <v>130.0</v>
      </c>
      <c r="W59" s="16">
        <v>125.0</v>
      </c>
      <c r="X59" s="16">
        <v>120.0</v>
      </c>
      <c r="Y59" s="16">
        <v>130.0</v>
      </c>
      <c r="Z59" s="16">
        <v>125.0</v>
      </c>
      <c r="AA59" s="16">
        <v>120.0</v>
      </c>
      <c r="AB59" s="16">
        <v>130.0</v>
      </c>
      <c r="AC59" s="16">
        <v>125.0</v>
      </c>
      <c r="AD59" s="16">
        <v>120.0</v>
      </c>
      <c r="AE59" s="16">
        <v>130.0</v>
      </c>
      <c r="AF59" s="16">
        <v>125.0</v>
      </c>
      <c r="AG59" s="16">
        <v>120.0</v>
      </c>
      <c r="AH59" s="16">
        <v>130.0</v>
      </c>
      <c r="AI59" s="16">
        <v>125.0</v>
      </c>
      <c r="AJ59" s="16">
        <v>80.0</v>
      </c>
      <c r="AK59" s="16">
        <v>130.0</v>
      </c>
      <c r="AL59" s="17">
        <v>123.71</v>
      </c>
      <c r="AM59" s="18">
        <f t="shared" si="1"/>
        <v>80</v>
      </c>
      <c r="AN59" s="18">
        <f t="shared" si="2"/>
        <v>160</v>
      </c>
      <c r="AO59" s="18">
        <f t="shared" si="3"/>
        <v>127.8058333</v>
      </c>
    </row>
    <row r="60" ht="12.75" customHeight="1">
      <c r="A60" s="19" t="s">
        <v>76</v>
      </c>
      <c r="B60" s="15" t="s">
        <v>19</v>
      </c>
      <c r="C60" s="16">
        <v>80.0</v>
      </c>
      <c r="D60" s="16">
        <v>90.0</v>
      </c>
      <c r="E60" s="16">
        <v>85.0</v>
      </c>
      <c r="F60" s="16">
        <v>80.0</v>
      </c>
      <c r="G60" s="16">
        <v>90.0</v>
      </c>
      <c r="H60" s="16">
        <v>85.0</v>
      </c>
      <c r="I60" s="16">
        <v>80.0</v>
      </c>
      <c r="J60" s="16">
        <v>90.0</v>
      </c>
      <c r="K60" s="16">
        <v>85.0</v>
      </c>
      <c r="L60" s="16">
        <v>80.0</v>
      </c>
      <c r="M60" s="16">
        <v>90.0</v>
      </c>
      <c r="N60" s="16">
        <v>85.0</v>
      </c>
      <c r="O60" s="16">
        <v>70.0</v>
      </c>
      <c r="P60" s="16">
        <v>90.0</v>
      </c>
      <c r="Q60" s="16">
        <v>84.84</v>
      </c>
      <c r="R60" s="16">
        <v>80.0</v>
      </c>
      <c r="S60" s="16">
        <v>90.0</v>
      </c>
      <c r="T60" s="16">
        <v>85.0</v>
      </c>
      <c r="U60" s="16">
        <v>80.0</v>
      </c>
      <c r="V60" s="16">
        <v>90.0</v>
      </c>
      <c r="W60" s="16">
        <v>85.0</v>
      </c>
      <c r="X60" s="16">
        <v>50.0</v>
      </c>
      <c r="Y60" s="16">
        <v>210.0</v>
      </c>
      <c r="Z60" s="16">
        <v>88.33</v>
      </c>
      <c r="AA60" s="16">
        <v>80.0</v>
      </c>
      <c r="AB60" s="16">
        <v>90.0</v>
      </c>
      <c r="AC60" s="16">
        <v>85.0</v>
      </c>
      <c r="AD60" s="16">
        <v>80.0</v>
      </c>
      <c r="AE60" s="16">
        <v>90.0</v>
      </c>
      <c r="AF60" s="16">
        <v>85.0</v>
      </c>
      <c r="AG60" s="16">
        <v>80.0</v>
      </c>
      <c r="AH60" s="16">
        <v>90.0</v>
      </c>
      <c r="AI60" s="16">
        <v>85.0</v>
      </c>
      <c r="AJ60" s="16">
        <v>80.0</v>
      </c>
      <c r="AK60" s="16">
        <v>90.0</v>
      </c>
      <c r="AL60" s="17">
        <v>85.0</v>
      </c>
      <c r="AM60" s="18">
        <f t="shared" si="1"/>
        <v>50</v>
      </c>
      <c r="AN60" s="18">
        <f t="shared" si="2"/>
        <v>210</v>
      </c>
      <c r="AO60" s="18">
        <f t="shared" si="3"/>
        <v>85.26416667</v>
      </c>
    </row>
    <row r="61" ht="12.75" customHeight="1">
      <c r="A61" s="14" t="s">
        <v>77</v>
      </c>
      <c r="B61" s="15" t="s">
        <v>19</v>
      </c>
      <c r="C61" s="16">
        <v>200.0</v>
      </c>
      <c r="D61" s="16">
        <v>210.0</v>
      </c>
      <c r="E61" s="16">
        <v>204.84</v>
      </c>
      <c r="F61" s="16">
        <v>80.0</v>
      </c>
      <c r="G61" s="16">
        <v>210.0</v>
      </c>
      <c r="H61" s="16">
        <v>201.25</v>
      </c>
      <c r="I61" s="16">
        <v>200.0</v>
      </c>
      <c r="J61" s="16">
        <v>210.0</v>
      </c>
      <c r="K61" s="16">
        <v>205.0</v>
      </c>
      <c r="L61" s="16">
        <v>200.0</v>
      </c>
      <c r="M61" s="16">
        <v>210.0</v>
      </c>
      <c r="N61" s="16">
        <v>205.0</v>
      </c>
      <c r="O61" s="16">
        <v>200.0</v>
      </c>
      <c r="P61" s="16">
        <v>210.0</v>
      </c>
      <c r="Q61" s="16">
        <v>205.0</v>
      </c>
      <c r="R61" s="16">
        <v>200.0</v>
      </c>
      <c r="S61" s="16">
        <v>210.0</v>
      </c>
      <c r="T61" s="16">
        <v>205.0</v>
      </c>
      <c r="U61" s="16">
        <v>80.0</v>
      </c>
      <c r="V61" s="16">
        <v>210.0</v>
      </c>
      <c r="W61" s="16">
        <v>201.0</v>
      </c>
      <c r="X61" s="16">
        <v>200.0</v>
      </c>
      <c r="Y61" s="16">
        <v>210.0</v>
      </c>
      <c r="Z61" s="16">
        <v>205.0</v>
      </c>
      <c r="AA61" s="16" t="s">
        <v>28</v>
      </c>
      <c r="AB61" s="16" t="s">
        <v>28</v>
      </c>
      <c r="AC61" s="16" t="s">
        <v>28</v>
      </c>
      <c r="AD61" s="16" t="s">
        <v>28</v>
      </c>
      <c r="AE61" s="16" t="s">
        <v>28</v>
      </c>
      <c r="AF61" s="16" t="s">
        <v>28</v>
      </c>
      <c r="AG61" s="16" t="s">
        <v>28</v>
      </c>
      <c r="AH61" s="16" t="s">
        <v>28</v>
      </c>
      <c r="AI61" s="16" t="s">
        <v>28</v>
      </c>
      <c r="AJ61" s="16" t="s">
        <v>28</v>
      </c>
      <c r="AK61" s="16" t="s">
        <v>28</v>
      </c>
      <c r="AL61" s="17" t="s">
        <v>28</v>
      </c>
      <c r="AM61" s="18">
        <f t="shared" si="1"/>
        <v>80</v>
      </c>
      <c r="AN61" s="18">
        <f t="shared" si="2"/>
        <v>210</v>
      </c>
      <c r="AO61" s="18">
        <f t="shared" si="3"/>
        <v>204.01125</v>
      </c>
    </row>
    <row r="62" ht="12.75" customHeight="1">
      <c r="A62" s="14" t="s">
        <v>78</v>
      </c>
      <c r="B62" s="15" t="s">
        <v>19</v>
      </c>
      <c r="C62" s="16">
        <v>100.0</v>
      </c>
      <c r="D62" s="16">
        <v>130.0</v>
      </c>
      <c r="E62" s="16">
        <v>106.77</v>
      </c>
      <c r="F62" s="16">
        <v>100.0</v>
      </c>
      <c r="G62" s="16">
        <v>120.0</v>
      </c>
      <c r="H62" s="16">
        <v>106.41</v>
      </c>
      <c r="I62" s="16">
        <v>90.0</v>
      </c>
      <c r="J62" s="16">
        <v>160.0</v>
      </c>
      <c r="K62" s="16">
        <v>115.0</v>
      </c>
      <c r="L62" s="16">
        <v>90.0</v>
      </c>
      <c r="M62" s="16">
        <v>160.0</v>
      </c>
      <c r="N62" s="16">
        <v>125.0</v>
      </c>
      <c r="O62" s="16">
        <v>100.0</v>
      </c>
      <c r="P62" s="16">
        <v>150.0</v>
      </c>
      <c r="Q62" s="16">
        <v>119.68</v>
      </c>
      <c r="R62" s="16">
        <v>100.0</v>
      </c>
      <c r="S62" s="16">
        <v>130.0</v>
      </c>
      <c r="T62" s="16">
        <v>120.33</v>
      </c>
      <c r="U62" s="16">
        <v>90.0</v>
      </c>
      <c r="V62" s="16">
        <v>120.0</v>
      </c>
      <c r="W62" s="16">
        <v>105.67</v>
      </c>
      <c r="X62" s="16">
        <v>90.0</v>
      </c>
      <c r="Y62" s="16">
        <v>110.0</v>
      </c>
      <c r="Z62" s="16">
        <v>103.33</v>
      </c>
      <c r="AA62" s="16">
        <v>90.0</v>
      </c>
      <c r="AB62" s="16">
        <v>100.0</v>
      </c>
      <c r="AC62" s="16">
        <v>95.0</v>
      </c>
      <c r="AD62" s="16">
        <v>90.0</v>
      </c>
      <c r="AE62" s="16">
        <v>100.0</v>
      </c>
      <c r="AF62" s="16">
        <v>95.0</v>
      </c>
      <c r="AG62" s="16">
        <v>90.0</v>
      </c>
      <c r="AH62" s="16">
        <v>110.0</v>
      </c>
      <c r="AI62" s="16">
        <v>104.63</v>
      </c>
      <c r="AJ62" s="16">
        <v>90.0</v>
      </c>
      <c r="AK62" s="16">
        <v>110.0</v>
      </c>
      <c r="AL62" s="17">
        <v>103.71</v>
      </c>
      <c r="AM62" s="18">
        <f t="shared" si="1"/>
        <v>90</v>
      </c>
      <c r="AN62" s="18">
        <f t="shared" si="2"/>
        <v>160</v>
      </c>
      <c r="AO62" s="18">
        <f t="shared" si="3"/>
        <v>108.3775</v>
      </c>
    </row>
    <row r="63" ht="12.75" customHeight="1">
      <c r="A63" s="19" t="s">
        <v>79</v>
      </c>
      <c r="B63" s="15" t="s">
        <v>80</v>
      </c>
      <c r="C63" s="16">
        <v>90.0</v>
      </c>
      <c r="D63" s="16">
        <v>130.0</v>
      </c>
      <c r="E63" s="16">
        <v>97.9</v>
      </c>
      <c r="F63" s="16">
        <v>70.0</v>
      </c>
      <c r="G63" s="16">
        <v>110.0</v>
      </c>
      <c r="H63" s="16">
        <v>90.63</v>
      </c>
      <c r="I63" s="16">
        <v>70.0</v>
      </c>
      <c r="J63" s="16">
        <v>450.0</v>
      </c>
      <c r="K63" s="16">
        <v>105.48</v>
      </c>
      <c r="L63" s="16">
        <v>70.0</v>
      </c>
      <c r="M63" s="16">
        <v>100.0</v>
      </c>
      <c r="N63" s="16">
        <v>82.11</v>
      </c>
      <c r="O63" s="16">
        <v>60.0</v>
      </c>
      <c r="P63" s="16">
        <v>130.0</v>
      </c>
      <c r="Q63" s="16">
        <v>76.02</v>
      </c>
      <c r="R63" s="16">
        <v>60.0</v>
      </c>
      <c r="S63" s="16">
        <v>90.0</v>
      </c>
      <c r="T63" s="16">
        <v>68.67</v>
      </c>
      <c r="U63" s="16">
        <v>60.0</v>
      </c>
      <c r="V63" s="16">
        <v>100.0</v>
      </c>
      <c r="W63" s="16">
        <v>71.67</v>
      </c>
      <c r="X63" s="16">
        <v>70.0</v>
      </c>
      <c r="Y63" s="16">
        <v>80.0</v>
      </c>
      <c r="Z63" s="16">
        <v>75.0</v>
      </c>
      <c r="AA63" s="16">
        <v>70.0</v>
      </c>
      <c r="AB63" s="16">
        <v>80.0</v>
      </c>
      <c r="AC63" s="16">
        <v>75.0</v>
      </c>
      <c r="AD63" s="16">
        <v>70.0</v>
      </c>
      <c r="AE63" s="16">
        <v>80.0</v>
      </c>
      <c r="AF63" s="16">
        <v>75.0</v>
      </c>
      <c r="AG63" s="16">
        <v>70.0</v>
      </c>
      <c r="AH63" s="16">
        <v>100.0</v>
      </c>
      <c r="AI63" s="16">
        <v>75.74</v>
      </c>
      <c r="AJ63" s="16">
        <v>70.0</v>
      </c>
      <c r="AK63" s="16">
        <v>100.0</v>
      </c>
      <c r="AL63" s="17">
        <v>85.32</v>
      </c>
      <c r="AM63" s="18">
        <f t="shared" si="1"/>
        <v>60</v>
      </c>
      <c r="AN63" s="18">
        <f t="shared" si="2"/>
        <v>450</v>
      </c>
      <c r="AO63" s="18">
        <f t="shared" si="3"/>
        <v>81.545</v>
      </c>
    </row>
    <row r="64" ht="12.75" customHeight="1">
      <c r="A64" s="14" t="s">
        <v>81</v>
      </c>
      <c r="B64" s="15" t="s">
        <v>82</v>
      </c>
      <c r="C64" s="16">
        <v>400.0</v>
      </c>
      <c r="D64" s="16">
        <v>500.0</v>
      </c>
      <c r="E64" s="16">
        <v>425.81</v>
      </c>
      <c r="F64" s="16">
        <v>90.0</v>
      </c>
      <c r="G64" s="16">
        <v>500.0</v>
      </c>
      <c r="H64" s="16">
        <v>416.25</v>
      </c>
      <c r="I64" s="16">
        <v>400.0</v>
      </c>
      <c r="J64" s="16">
        <v>450.0</v>
      </c>
      <c r="K64" s="16">
        <v>425.0</v>
      </c>
      <c r="L64" s="16">
        <v>400.0</v>
      </c>
      <c r="M64" s="16">
        <v>450.0</v>
      </c>
      <c r="N64" s="16">
        <v>425.0</v>
      </c>
      <c r="O64" s="16">
        <v>400.0</v>
      </c>
      <c r="P64" s="16">
        <v>500.0</v>
      </c>
      <c r="Q64" s="16">
        <v>425.86</v>
      </c>
      <c r="R64" s="16">
        <v>400.0</v>
      </c>
      <c r="S64" s="16">
        <v>450.0</v>
      </c>
      <c r="T64" s="16">
        <v>425.0</v>
      </c>
      <c r="U64" s="16">
        <v>400.0</v>
      </c>
      <c r="V64" s="16">
        <v>450.0</v>
      </c>
      <c r="W64" s="16">
        <v>425.0</v>
      </c>
      <c r="X64" s="16">
        <v>400.0</v>
      </c>
      <c r="Y64" s="16">
        <v>450.0</v>
      </c>
      <c r="Z64" s="16">
        <v>425.0</v>
      </c>
      <c r="AA64" s="16">
        <v>400.0</v>
      </c>
      <c r="AB64" s="16">
        <v>500.0</v>
      </c>
      <c r="AC64" s="16">
        <v>425.86</v>
      </c>
      <c r="AD64" s="16">
        <v>400.0</v>
      </c>
      <c r="AE64" s="16">
        <v>450.0</v>
      </c>
      <c r="AF64" s="16">
        <v>425.0</v>
      </c>
      <c r="AG64" s="16">
        <v>400.0</v>
      </c>
      <c r="AH64" s="16">
        <v>450.0</v>
      </c>
      <c r="AI64" s="16">
        <v>425.0</v>
      </c>
      <c r="AJ64" s="16">
        <v>400.0</v>
      </c>
      <c r="AK64" s="16">
        <v>650.0</v>
      </c>
      <c r="AL64" s="17">
        <v>545.16</v>
      </c>
      <c r="AM64" s="18">
        <f t="shared" si="1"/>
        <v>90</v>
      </c>
      <c r="AN64" s="18">
        <f t="shared" si="2"/>
        <v>650</v>
      </c>
      <c r="AO64" s="18">
        <f t="shared" si="3"/>
        <v>434.495</v>
      </c>
    </row>
    <row r="65" ht="12.75" customHeight="1">
      <c r="A65" s="19" t="s">
        <v>83</v>
      </c>
      <c r="B65" s="15" t="s">
        <v>19</v>
      </c>
      <c r="C65" s="16">
        <v>200.0</v>
      </c>
      <c r="D65" s="16">
        <v>210.0</v>
      </c>
      <c r="E65" s="16">
        <v>205.0</v>
      </c>
      <c r="F65" s="16">
        <v>200.0</v>
      </c>
      <c r="G65" s="16">
        <v>210.0</v>
      </c>
      <c r="H65" s="16">
        <v>205.0</v>
      </c>
      <c r="I65" s="16">
        <v>80.0</v>
      </c>
      <c r="J65" s="16">
        <v>240.0</v>
      </c>
      <c r="K65" s="16">
        <v>203.39</v>
      </c>
      <c r="L65" s="16">
        <v>110.0</v>
      </c>
      <c r="M65" s="16">
        <v>230.0</v>
      </c>
      <c r="N65" s="16">
        <v>201.56</v>
      </c>
      <c r="O65" s="16">
        <v>200.0</v>
      </c>
      <c r="P65" s="16">
        <v>260.0</v>
      </c>
      <c r="Q65" s="16">
        <v>224.84</v>
      </c>
      <c r="R65" s="16">
        <v>150.0</v>
      </c>
      <c r="S65" s="16">
        <v>300.0</v>
      </c>
      <c r="T65" s="16">
        <v>263.33</v>
      </c>
      <c r="U65" s="16">
        <v>240.0</v>
      </c>
      <c r="V65" s="16">
        <v>300.0</v>
      </c>
      <c r="W65" s="16">
        <v>272.0</v>
      </c>
      <c r="X65" s="16">
        <v>210.0</v>
      </c>
      <c r="Y65" s="16">
        <v>260.0</v>
      </c>
      <c r="Z65" s="16">
        <v>244.33</v>
      </c>
      <c r="AA65" s="16">
        <v>200.0</v>
      </c>
      <c r="AB65" s="16">
        <v>250.0</v>
      </c>
      <c r="AC65" s="16">
        <v>214.14</v>
      </c>
      <c r="AD65" s="16">
        <v>200.0</v>
      </c>
      <c r="AE65" s="16">
        <v>210.0</v>
      </c>
      <c r="AF65" s="16">
        <v>205.0</v>
      </c>
      <c r="AG65" s="16">
        <v>200.0</v>
      </c>
      <c r="AH65" s="16">
        <v>270.0</v>
      </c>
      <c r="AI65" s="16">
        <v>232.41</v>
      </c>
      <c r="AJ65" s="16">
        <v>200.0</v>
      </c>
      <c r="AK65" s="16">
        <v>250.0</v>
      </c>
      <c r="AL65" s="17">
        <v>229.19</v>
      </c>
      <c r="AM65" s="18">
        <f t="shared" si="1"/>
        <v>80</v>
      </c>
      <c r="AN65" s="18">
        <f t="shared" si="2"/>
        <v>300</v>
      </c>
      <c r="AO65" s="18">
        <f t="shared" si="3"/>
        <v>225.0158333</v>
      </c>
    </row>
    <row r="66" ht="12.75" customHeight="1">
      <c r="A66" s="14" t="s">
        <v>84</v>
      </c>
      <c r="B66" s="15" t="s">
        <v>19</v>
      </c>
      <c r="C66" s="16">
        <v>120.0</v>
      </c>
      <c r="D66" s="16">
        <v>180.0</v>
      </c>
      <c r="E66" s="16">
        <v>134.67</v>
      </c>
      <c r="F66" s="16">
        <v>50.0</v>
      </c>
      <c r="G66" s="16">
        <v>140.0</v>
      </c>
      <c r="H66" s="16">
        <v>97.58</v>
      </c>
      <c r="I66" s="16">
        <v>40.0</v>
      </c>
      <c r="J66" s="16">
        <v>100.0</v>
      </c>
      <c r="K66" s="16">
        <v>68.63</v>
      </c>
      <c r="L66" s="16">
        <v>70.0</v>
      </c>
      <c r="M66" s="16">
        <v>160.0</v>
      </c>
      <c r="N66" s="16">
        <v>102.82</v>
      </c>
      <c r="O66" s="16" t="s">
        <v>28</v>
      </c>
      <c r="P66" s="16" t="s">
        <v>28</v>
      </c>
      <c r="Q66" s="16" t="s">
        <v>28</v>
      </c>
      <c r="R66" s="16" t="s">
        <v>28</v>
      </c>
      <c r="S66" s="16" t="s">
        <v>28</v>
      </c>
      <c r="T66" s="16" t="s">
        <v>28</v>
      </c>
      <c r="U66" s="16" t="s">
        <v>28</v>
      </c>
      <c r="V66" s="16" t="s">
        <v>28</v>
      </c>
      <c r="W66" s="16" t="s">
        <v>28</v>
      </c>
      <c r="X66" s="16" t="s">
        <v>28</v>
      </c>
      <c r="Y66" s="16" t="s">
        <v>28</v>
      </c>
      <c r="Z66" s="16" t="s">
        <v>28</v>
      </c>
      <c r="AA66" s="16" t="s">
        <v>28</v>
      </c>
      <c r="AB66" s="16" t="s">
        <v>28</v>
      </c>
      <c r="AC66" s="16" t="s">
        <v>28</v>
      </c>
      <c r="AD66" s="16" t="s">
        <v>28</v>
      </c>
      <c r="AE66" s="16" t="s">
        <v>28</v>
      </c>
      <c r="AF66" s="16" t="s">
        <v>28</v>
      </c>
      <c r="AG66" s="16" t="s">
        <v>28</v>
      </c>
      <c r="AH66" s="16" t="s">
        <v>28</v>
      </c>
      <c r="AI66" s="16" t="s">
        <v>28</v>
      </c>
      <c r="AJ66" s="16" t="s">
        <v>28</v>
      </c>
      <c r="AK66" s="16" t="s">
        <v>28</v>
      </c>
      <c r="AL66" s="17" t="s">
        <v>28</v>
      </c>
      <c r="AM66" s="18">
        <f t="shared" si="1"/>
        <v>40</v>
      </c>
      <c r="AN66" s="18">
        <f t="shared" si="2"/>
        <v>180</v>
      </c>
      <c r="AO66" s="18">
        <f t="shared" si="3"/>
        <v>100.925</v>
      </c>
    </row>
    <row r="67" ht="12.75" customHeight="1">
      <c r="A67" s="25" t="s">
        <v>85</v>
      </c>
      <c r="B67" s="15" t="s">
        <v>19</v>
      </c>
      <c r="C67" s="16">
        <v>100.0</v>
      </c>
      <c r="D67" s="16">
        <v>160.0</v>
      </c>
      <c r="E67" s="16">
        <v>126.94</v>
      </c>
      <c r="F67" s="16">
        <v>70.0</v>
      </c>
      <c r="G67" s="16">
        <v>160.0</v>
      </c>
      <c r="H67" s="16">
        <v>147.63</v>
      </c>
      <c r="I67" s="16" t="s">
        <v>28</v>
      </c>
      <c r="J67" s="16" t="s">
        <v>28</v>
      </c>
      <c r="K67" s="16" t="s">
        <v>28</v>
      </c>
      <c r="L67" s="16" t="s">
        <v>28</v>
      </c>
      <c r="M67" s="16" t="s">
        <v>28</v>
      </c>
      <c r="N67" s="16" t="s">
        <v>28</v>
      </c>
      <c r="O67" s="16" t="s">
        <v>28</v>
      </c>
      <c r="P67" s="16" t="s">
        <v>28</v>
      </c>
      <c r="Q67" s="16" t="s">
        <v>28</v>
      </c>
      <c r="R67" s="16" t="s">
        <v>28</v>
      </c>
      <c r="S67" s="16" t="s">
        <v>28</v>
      </c>
      <c r="T67" s="16" t="s">
        <v>28</v>
      </c>
      <c r="U67" s="16" t="s">
        <v>28</v>
      </c>
      <c r="V67" s="16" t="s">
        <v>28</v>
      </c>
      <c r="W67" s="16" t="s">
        <v>28</v>
      </c>
      <c r="X67" s="16" t="s">
        <v>28</v>
      </c>
      <c r="Y67" s="16" t="s">
        <v>28</v>
      </c>
      <c r="Z67" s="16" t="s">
        <v>28</v>
      </c>
      <c r="AA67" s="16" t="s">
        <v>28</v>
      </c>
      <c r="AB67" s="16" t="s">
        <v>28</v>
      </c>
      <c r="AC67" s="16" t="s">
        <v>28</v>
      </c>
      <c r="AD67" s="16">
        <v>100.0</v>
      </c>
      <c r="AE67" s="16">
        <v>200.0</v>
      </c>
      <c r="AF67" s="16">
        <v>159.63</v>
      </c>
      <c r="AG67" s="16">
        <v>60.0</v>
      </c>
      <c r="AH67" s="16">
        <v>130.0</v>
      </c>
      <c r="AI67" s="16">
        <v>107.96</v>
      </c>
      <c r="AJ67" s="16">
        <v>90.0</v>
      </c>
      <c r="AK67" s="16">
        <v>110.0</v>
      </c>
      <c r="AL67" s="17">
        <v>103.71</v>
      </c>
      <c r="AM67" s="18">
        <f t="shared" si="1"/>
        <v>60</v>
      </c>
      <c r="AN67" s="18">
        <f t="shared" si="2"/>
        <v>200</v>
      </c>
      <c r="AO67" s="18">
        <f t="shared" si="3"/>
        <v>129.174</v>
      </c>
    </row>
    <row r="68" ht="12.75" customHeight="1">
      <c r="A68" s="25" t="s">
        <v>86</v>
      </c>
      <c r="B68" s="15" t="s">
        <v>19</v>
      </c>
      <c r="C68" s="16">
        <v>120.0</v>
      </c>
      <c r="D68" s="16">
        <v>160.0</v>
      </c>
      <c r="E68" s="16">
        <v>145.65</v>
      </c>
      <c r="F68" s="16">
        <v>150.0</v>
      </c>
      <c r="G68" s="16">
        <v>160.0</v>
      </c>
      <c r="H68" s="16">
        <v>155.0</v>
      </c>
      <c r="I68" s="16" t="s">
        <v>28</v>
      </c>
      <c r="J68" s="16" t="s">
        <v>28</v>
      </c>
      <c r="K68" s="16" t="s">
        <v>28</v>
      </c>
      <c r="L68" s="16" t="s">
        <v>28</v>
      </c>
      <c r="M68" s="16" t="s">
        <v>28</v>
      </c>
      <c r="N68" s="16" t="s">
        <v>28</v>
      </c>
      <c r="O68" s="16" t="s">
        <v>28</v>
      </c>
      <c r="P68" s="16" t="s">
        <v>28</v>
      </c>
      <c r="Q68" s="16" t="s">
        <v>28</v>
      </c>
      <c r="R68" s="16">
        <v>90.0</v>
      </c>
      <c r="S68" s="16">
        <v>120.0</v>
      </c>
      <c r="T68" s="16">
        <v>100.68</v>
      </c>
      <c r="U68" s="16">
        <v>50.0</v>
      </c>
      <c r="V68" s="16">
        <v>110.0</v>
      </c>
      <c r="W68" s="16">
        <v>72.1</v>
      </c>
      <c r="X68" s="16">
        <v>70.0</v>
      </c>
      <c r="Y68" s="16">
        <v>100.0</v>
      </c>
      <c r="Z68" s="16">
        <v>77.46</v>
      </c>
      <c r="AA68" s="16">
        <v>70.0</v>
      </c>
      <c r="AB68" s="16">
        <v>100.0</v>
      </c>
      <c r="AC68" s="16">
        <v>85.62</v>
      </c>
      <c r="AD68" s="16">
        <v>70.0</v>
      </c>
      <c r="AE68" s="16">
        <v>100.0</v>
      </c>
      <c r="AF68" s="16">
        <v>85.23</v>
      </c>
      <c r="AG68" s="16">
        <v>50.0</v>
      </c>
      <c r="AH68" s="16">
        <v>110.0</v>
      </c>
      <c r="AI68" s="16">
        <v>71.02</v>
      </c>
      <c r="AJ68" s="16">
        <v>50.0</v>
      </c>
      <c r="AK68" s="16">
        <v>90.0</v>
      </c>
      <c r="AL68" s="17">
        <v>62.42</v>
      </c>
      <c r="AM68" s="18">
        <f t="shared" si="1"/>
        <v>50</v>
      </c>
      <c r="AN68" s="18">
        <f t="shared" si="2"/>
        <v>160</v>
      </c>
      <c r="AO68" s="18">
        <f t="shared" si="3"/>
        <v>95.02</v>
      </c>
    </row>
    <row r="69" ht="12.75" customHeight="1">
      <c r="A69" s="25" t="s">
        <v>87</v>
      </c>
      <c r="B69" s="15" t="s">
        <v>19</v>
      </c>
      <c r="C69" s="16">
        <v>20.0</v>
      </c>
      <c r="D69" s="16">
        <v>30.0</v>
      </c>
      <c r="E69" s="16">
        <v>26.44</v>
      </c>
      <c r="F69" s="16">
        <v>15.0</v>
      </c>
      <c r="G69" s="16">
        <v>25.0</v>
      </c>
      <c r="H69" s="16">
        <v>20.3</v>
      </c>
      <c r="I69" s="16">
        <v>15.0</v>
      </c>
      <c r="J69" s="16">
        <v>60.0</v>
      </c>
      <c r="K69" s="16">
        <v>37.42</v>
      </c>
      <c r="L69" s="16">
        <v>30.0</v>
      </c>
      <c r="M69" s="16">
        <v>55.0</v>
      </c>
      <c r="N69" s="16">
        <v>42.03</v>
      </c>
      <c r="O69" s="16">
        <v>35.0</v>
      </c>
      <c r="P69" s="16">
        <v>55.0</v>
      </c>
      <c r="Q69" s="16">
        <v>50.32</v>
      </c>
      <c r="R69" s="16">
        <v>50.0</v>
      </c>
      <c r="S69" s="16">
        <v>55.0</v>
      </c>
      <c r="T69" s="16">
        <v>52.5</v>
      </c>
      <c r="U69" s="16">
        <v>50.0</v>
      </c>
      <c r="V69" s="16">
        <v>65.0</v>
      </c>
      <c r="W69" s="16">
        <v>55.5</v>
      </c>
      <c r="X69" s="16">
        <v>60.0</v>
      </c>
      <c r="Y69" s="16">
        <v>70.0</v>
      </c>
      <c r="Z69" s="16">
        <v>64.5</v>
      </c>
      <c r="AA69" s="16">
        <v>60.0</v>
      </c>
      <c r="AB69" s="16">
        <v>110.0</v>
      </c>
      <c r="AC69" s="16">
        <v>66.9</v>
      </c>
      <c r="AD69" s="16">
        <v>35.0</v>
      </c>
      <c r="AE69" s="16">
        <v>70.0</v>
      </c>
      <c r="AF69" s="16">
        <v>54.74</v>
      </c>
      <c r="AG69" s="16">
        <v>35.0</v>
      </c>
      <c r="AH69" s="16">
        <v>50.0</v>
      </c>
      <c r="AI69" s="16">
        <v>41.7</v>
      </c>
      <c r="AJ69" s="16">
        <v>20.0</v>
      </c>
      <c r="AK69" s="16">
        <v>40.0</v>
      </c>
      <c r="AL69" s="17">
        <v>28.81</v>
      </c>
      <c r="AM69" s="18">
        <f t="shared" si="1"/>
        <v>15</v>
      </c>
      <c r="AN69" s="18">
        <f t="shared" si="2"/>
        <v>110</v>
      </c>
      <c r="AO69" s="18">
        <f t="shared" si="3"/>
        <v>45.09666667</v>
      </c>
    </row>
    <row r="70" ht="12.75" customHeight="1">
      <c r="A70" s="25" t="s">
        <v>88</v>
      </c>
      <c r="B70" s="15" t="s">
        <v>19</v>
      </c>
      <c r="C70" s="16">
        <v>90.0</v>
      </c>
      <c r="D70" s="16">
        <v>160.0</v>
      </c>
      <c r="E70" s="16">
        <v>129.52</v>
      </c>
      <c r="F70" s="16">
        <v>140.0</v>
      </c>
      <c r="G70" s="16">
        <v>160.0</v>
      </c>
      <c r="H70" s="16">
        <v>154.53</v>
      </c>
      <c r="I70" s="16">
        <v>140.0</v>
      </c>
      <c r="J70" s="16">
        <v>160.0</v>
      </c>
      <c r="K70" s="16">
        <v>153.06</v>
      </c>
      <c r="L70" s="16">
        <v>90.0</v>
      </c>
      <c r="M70" s="16">
        <v>150.0</v>
      </c>
      <c r="N70" s="16">
        <v>110.63</v>
      </c>
      <c r="O70" s="16">
        <v>90.0</v>
      </c>
      <c r="P70" s="16">
        <v>130.0</v>
      </c>
      <c r="Q70" s="16">
        <v>109.68</v>
      </c>
      <c r="R70" s="16">
        <v>90.0</v>
      </c>
      <c r="S70" s="16">
        <v>140.0</v>
      </c>
      <c r="T70" s="16">
        <v>120.0</v>
      </c>
      <c r="U70" s="16">
        <v>50.0</v>
      </c>
      <c r="V70" s="16">
        <v>130.0</v>
      </c>
      <c r="W70" s="16">
        <v>78.88</v>
      </c>
      <c r="X70" s="16">
        <v>100.0</v>
      </c>
      <c r="Y70" s="16">
        <v>110.0</v>
      </c>
      <c r="Z70" s="16">
        <v>105.17</v>
      </c>
      <c r="AA70" s="16">
        <v>100.0</v>
      </c>
      <c r="AB70" s="16">
        <v>120.0</v>
      </c>
      <c r="AC70" s="16">
        <v>105.17</v>
      </c>
      <c r="AD70" s="16">
        <v>100.0</v>
      </c>
      <c r="AE70" s="16">
        <v>110.0</v>
      </c>
      <c r="AF70" s="16">
        <v>105.0</v>
      </c>
      <c r="AG70" s="16">
        <v>100.0</v>
      </c>
      <c r="AH70" s="16">
        <v>110.0</v>
      </c>
      <c r="AI70" s="16">
        <v>105.0</v>
      </c>
      <c r="AJ70" s="16">
        <v>100.0</v>
      </c>
      <c r="AK70" s="16">
        <v>110.0</v>
      </c>
      <c r="AL70" s="17">
        <v>104.84</v>
      </c>
      <c r="AM70" s="18">
        <f t="shared" si="1"/>
        <v>50</v>
      </c>
      <c r="AN70" s="18">
        <f t="shared" si="2"/>
        <v>160</v>
      </c>
      <c r="AO70" s="18">
        <f t="shared" si="3"/>
        <v>115.1233333</v>
      </c>
    </row>
    <row r="71" ht="12.75" customHeight="1">
      <c r="A71" s="25" t="s">
        <v>89</v>
      </c>
      <c r="B71" s="15" t="s">
        <v>90</v>
      </c>
      <c r="C71" s="16">
        <v>100.0</v>
      </c>
      <c r="D71" s="16">
        <v>160.0</v>
      </c>
      <c r="E71" s="16">
        <v>133.87</v>
      </c>
      <c r="F71" s="16">
        <v>90.0</v>
      </c>
      <c r="G71" s="16">
        <v>160.0</v>
      </c>
      <c r="H71" s="16">
        <v>117.19</v>
      </c>
      <c r="I71" s="16">
        <v>80.0</v>
      </c>
      <c r="J71" s="16">
        <v>110.0</v>
      </c>
      <c r="K71" s="16">
        <v>96.94</v>
      </c>
      <c r="L71" s="16">
        <v>90.0</v>
      </c>
      <c r="M71" s="16">
        <v>110.0</v>
      </c>
      <c r="N71" s="16">
        <v>95.31</v>
      </c>
      <c r="O71" s="16">
        <v>80.0</v>
      </c>
      <c r="P71" s="16">
        <v>110.0</v>
      </c>
      <c r="Q71" s="16">
        <v>96.99</v>
      </c>
      <c r="R71" s="16">
        <v>90.0</v>
      </c>
      <c r="S71" s="16">
        <v>110.0</v>
      </c>
      <c r="T71" s="16">
        <v>104.06</v>
      </c>
      <c r="U71" s="16">
        <v>100.0</v>
      </c>
      <c r="V71" s="16">
        <v>110.0</v>
      </c>
      <c r="W71" s="16">
        <v>105.0</v>
      </c>
      <c r="X71" s="16">
        <v>100.0</v>
      </c>
      <c r="Y71" s="16">
        <v>110.0</v>
      </c>
      <c r="Z71" s="16">
        <v>105.0</v>
      </c>
      <c r="AA71" s="16">
        <v>100.0</v>
      </c>
      <c r="AB71" s="16">
        <v>110.0</v>
      </c>
      <c r="AC71" s="16">
        <v>105.0</v>
      </c>
      <c r="AD71" s="16">
        <v>100.0</v>
      </c>
      <c r="AE71" s="16">
        <v>110.0</v>
      </c>
      <c r="AF71" s="16">
        <v>105.0</v>
      </c>
      <c r="AG71" s="16">
        <v>100.0</v>
      </c>
      <c r="AH71" s="16">
        <v>110.0</v>
      </c>
      <c r="AI71" s="16">
        <v>105.0</v>
      </c>
      <c r="AJ71" s="16">
        <v>100.0</v>
      </c>
      <c r="AK71" s="16">
        <v>110.0</v>
      </c>
      <c r="AL71" s="17">
        <v>104.84</v>
      </c>
      <c r="AM71" s="18">
        <f t="shared" si="1"/>
        <v>80</v>
      </c>
      <c r="AN71" s="18">
        <f t="shared" si="2"/>
        <v>160</v>
      </c>
      <c r="AO71" s="18">
        <f t="shared" si="3"/>
        <v>106.1833333</v>
      </c>
    </row>
    <row r="72" ht="12.75" customHeight="1">
      <c r="A72" s="25" t="s">
        <v>91</v>
      </c>
      <c r="B72" s="15" t="s">
        <v>19</v>
      </c>
      <c r="C72" s="16">
        <v>50.0</v>
      </c>
      <c r="D72" s="16">
        <v>100.0</v>
      </c>
      <c r="E72" s="16">
        <v>69.97</v>
      </c>
      <c r="F72" s="16">
        <v>30.0</v>
      </c>
      <c r="G72" s="16">
        <v>70.0</v>
      </c>
      <c r="H72" s="16">
        <v>52.37</v>
      </c>
      <c r="I72" s="16">
        <v>30.0</v>
      </c>
      <c r="J72" s="16">
        <v>70.0</v>
      </c>
      <c r="K72" s="16">
        <v>49.04</v>
      </c>
      <c r="L72" s="16">
        <v>35.0</v>
      </c>
      <c r="M72" s="16">
        <v>60.0</v>
      </c>
      <c r="N72" s="16">
        <v>45.68</v>
      </c>
      <c r="O72" s="16">
        <v>35.0</v>
      </c>
      <c r="P72" s="16">
        <v>60.0</v>
      </c>
      <c r="Q72" s="16">
        <v>46.4</v>
      </c>
      <c r="R72" s="16">
        <v>45.0</v>
      </c>
      <c r="S72" s="16">
        <v>85.0</v>
      </c>
      <c r="T72" s="16">
        <v>62.47</v>
      </c>
      <c r="U72" s="16">
        <v>50.0</v>
      </c>
      <c r="V72" s="16">
        <v>100.0</v>
      </c>
      <c r="W72" s="16">
        <v>60.92</v>
      </c>
      <c r="X72" s="16">
        <v>50.0</v>
      </c>
      <c r="Y72" s="16">
        <v>70.0</v>
      </c>
      <c r="Z72" s="16">
        <v>55.53</v>
      </c>
      <c r="AA72" s="16">
        <v>20.0</v>
      </c>
      <c r="AB72" s="16">
        <v>60.0</v>
      </c>
      <c r="AC72" s="16">
        <v>29.7</v>
      </c>
      <c r="AD72" s="16">
        <v>20.0</v>
      </c>
      <c r="AE72" s="16">
        <v>45.0</v>
      </c>
      <c r="AF72" s="16">
        <v>30.9</v>
      </c>
      <c r="AG72" s="16">
        <v>35.0</v>
      </c>
      <c r="AH72" s="16">
        <v>60.0</v>
      </c>
      <c r="AI72" s="16">
        <v>41.01</v>
      </c>
      <c r="AJ72" s="16">
        <v>45.0</v>
      </c>
      <c r="AK72" s="16">
        <v>65.0</v>
      </c>
      <c r="AL72" s="17">
        <v>51.96</v>
      </c>
      <c r="AM72" s="18">
        <f t="shared" si="1"/>
        <v>20</v>
      </c>
      <c r="AN72" s="18">
        <f t="shared" si="2"/>
        <v>100</v>
      </c>
      <c r="AO72" s="18">
        <f t="shared" si="3"/>
        <v>49.6625</v>
      </c>
    </row>
    <row r="73" ht="12.75" customHeight="1">
      <c r="A73" s="25" t="s">
        <v>92</v>
      </c>
      <c r="B73" s="15" t="s">
        <v>19</v>
      </c>
      <c r="C73" s="16">
        <v>25.0</v>
      </c>
      <c r="D73" s="16">
        <v>140.0</v>
      </c>
      <c r="E73" s="16">
        <v>48.84</v>
      </c>
      <c r="F73" s="16">
        <v>15.0</v>
      </c>
      <c r="G73" s="16">
        <v>40.0</v>
      </c>
      <c r="H73" s="16">
        <v>22.92</v>
      </c>
      <c r="I73" s="16">
        <v>15.0</v>
      </c>
      <c r="J73" s="16">
        <v>35.0</v>
      </c>
      <c r="K73" s="16">
        <v>21.58</v>
      </c>
      <c r="L73" s="16">
        <v>15.0</v>
      </c>
      <c r="M73" s="16">
        <v>25.0</v>
      </c>
      <c r="N73" s="16">
        <v>21.41</v>
      </c>
      <c r="O73" s="16">
        <v>20.0</v>
      </c>
      <c r="P73" s="16">
        <v>30.0</v>
      </c>
      <c r="Q73" s="16">
        <v>22.71</v>
      </c>
      <c r="R73" s="16" t="s">
        <v>28</v>
      </c>
      <c r="S73" s="16" t="s">
        <v>28</v>
      </c>
      <c r="T73" s="16" t="s">
        <v>28</v>
      </c>
      <c r="U73" s="16" t="s">
        <v>28</v>
      </c>
      <c r="V73" s="16" t="s">
        <v>28</v>
      </c>
      <c r="W73" s="16" t="s">
        <v>28</v>
      </c>
      <c r="X73" s="16" t="s">
        <v>28</v>
      </c>
      <c r="Y73" s="16" t="s">
        <v>28</v>
      </c>
      <c r="Z73" s="16" t="s">
        <v>28</v>
      </c>
      <c r="AA73" s="16" t="s">
        <v>28</v>
      </c>
      <c r="AB73" s="16" t="s">
        <v>28</v>
      </c>
      <c r="AC73" s="16" t="s">
        <v>28</v>
      </c>
      <c r="AD73" s="16">
        <v>60.0</v>
      </c>
      <c r="AE73" s="16">
        <v>80.0</v>
      </c>
      <c r="AF73" s="16">
        <v>68.96</v>
      </c>
      <c r="AG73" s="16">
        <v>50.0</v>
      </c>
      <c r="AH73" s="16">
        <v>110.0</v>
      </c>
      <c r="AI73" s="16">
        <v>57.51</v>
      </c>
      <c r="AJ73" s="16">
        <v>40.0</v>
      </c>
      <c r="AK73" s="16">
        <v>100.0</v>
      </c>
      <c r="AL73" s="17">
        <v>58.13</v>
      </c>
      <c r="AM73" s="18">
        <f t="shared" si="1"/>
        <v>15</v>
      </c>
      <c r="AN73" s="18">
        <f t="shared" si="2"/>
        <v>140</v>
      </c>
      <c r="AO73" s="18">
        <f t="shared" si="3"/>
        <v>40.2575</v>
      </c>
    </row>
    <row r="74" ht="12.75" customHeight="1">
      <c r="A74" s="25" t="s">
        <v>93</v>
      </c>
      <c r="B74" s="15" t="s">
        <v>19</v>
      </c>
      <c r="C74" s="16" t="s">
        <v>28</v>
      </c>
      <c r="D74" s="16" t="s">
        <v>28</v>
      </c>
      <c r="E74" s="16" t="s">
        <v>28</v>
      </c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28</v>
      </c>
      <c r="M74" s="16" t="s">
        <v>28</v>
      </c>
      <c r="N74" s="16" t="s">
        <v>28</v>
      </c>
      <c r="O74" s="16" t="s">
        <v>28</v>
      </c>
      <c r="P74" s="16" t="s">
        <v>28</v>
      </c>
      <c r="Q74" s="16" t="s">
        <v>28</v>
      </c>
      <c r="R74" s="16">
        <v>30.0</v>
      </c>
      <c r="S74" s="16">
        <v>45.0</v>
      </c>
      <c r="T74" s="16">
        <v>33.33</v>
      </c>
      <c r="U74" s="16">
        <v>30.0</v>
      </c>
      <c r="V74" s="16">
        <v>45.0</v>
      </c>
      <c r="W74" s="16">
        <v>35.15</v>
      </c>
      <c r="X74" s="16">
        <v>30.0</v>
      </c>
      <c r="Y74" s="16">
        <v>50.0</v>
      </c>
      <c r="Z74" s="16">
        <v>40.73</v>
      </c>
      <c r="AA74" s="16">
        <v>40.0</v>
      </c>
      <c r="AB74" s="16">
        <v>50.0</v>
      </c>
      <c r="AC74" s="16">
        <v>44.46</v>
      </c>
      <c r="AD74" s="16" t="s">
        <v>28</v>
      </c>
      <c r="AE74" s="16" t="s">
        <v>28</v>
      </c>
      <c r="AF74" s="16" t="s">
        <v>28</v>
      </c>
      <c r="AG74" s="16" t="s">
        <v>28</v>
      </c>
      <c r="AH74" s="16" t="s">
        <v>28</v>
      </c>
      <c r="AI74" s="16" t="s">
        <v>28</v>
      </c>
      <c r="AJ74" s="16" t="s">
        <v>28</v>
      </c>
      <c r="AK74" s="16" t="s">
        <v>28</v>
      </c>
      <c r="AL74" s="17" t="s">
        <v>28</v>
      </c>
      <c r="AM74" s="18">
        <f t="shared" si="1"/>
        <v>30</v>
      </c>
      <c r="AN74" s="18">
        <f t="shared" si="2"/>
        <v>50</v>
      </c>
      <c r="AO74" s="18">
        <f t="shared" si="3"/>
        <v>38.4175</v>
      </c>
    </row>
    <row r="75" ht="12.75" customHeight="1">
      <c r="A75" s="25" t="s">
        <v>94</v>
      </c>
      <c r="B75" s="15" t="s">
        <v>19</v>
      </c>
      <c r="C75" s="16">
        <v>120.0</v>
      </c>
      <c r="D75" s="16">
        <v>180.0</v>
      </c>
      <c r="E75" s="16">
        <v>137.86</v>
      </c>
      <c r="F75" s="16" t="s">
        <v>28</v>
      </c>
      <c r="G75" s="16" t="s">
        <v>28</v>
      </c>
      <c r="H75" s="16" t="s">
        <v>28</v>
      </c>
      <c r="I75" s="16" t="s">
        <v>28</v>
      </c>
      <c r="J75" s="16" t="s">
        <v>28</v>
      </c>
      <c r="K75" s="16" t="s">
        <v>28</v>
      </c>
      <c r="L75" s="16">
        <v>20.0</v>
      </c>
      <c r="M75" s="16">
        <v>30.0</v>
      </c>
      <c r="N75" s="16">
        <v>22.65</v>
      </c>
      <c r="O75" s="16">
        <v>25.0</v>
      </c>
      <c r="P75" s="16">
        <v>45.0</v>
      </c>
      <c r="Q75" s="16">
        <v>28.14</v>
      </c>
      <c r="R75" s="16">
        <v>30.0</v>
      </c>
      <c r="S75" s="16">
        <v>50.0</v>
      </c>
      <c r="T75" s="16">
        <v>43.08</v>
      </c>
      <c r="U75" s="16">
        <v>40.0</v>
      </c>
      <c r="V75" s="16">
        <v>110.0</v>
      </c>
      <c r="W75" s="16">
        <v>94.66</v>
      </c>
      <c r="X75" s="16">
        <v>100.0</v>
      </c>
      <c r="Y75" s="16">
        <v>110.0</v>
      </c>
      <c r="Z75" s="16">
        <v>105.0</v>
      </c>
      <c r="AA75" s="16">
        <v>100.0</v>
      </c>
      <c r="AB75" s="16">
        <v>110.0</v>
      </c>
      <c r="AC75" s="16">
        <v>105.0</v>
      </c>
      <c r="AD75" s="16">
        <v>100.0</v>
      </c>
      <c r="AE75" s="16">
        <v>110.0</v>
      </c>
      <c r="AF75" s="16">
        <v>105.0</v>
      </c>
      <c r="AG75" s="16">
        <v>100.0</v>
      </c>
      <c r="AH75" s="16">
        <v>130.0</v>
      </c>
      <c r="AI75" s="16">
        <v>105.74</v>
      </c>
      <c r="AJ75" s="16">
        <v>100.0</v>
      </c>
      <c r="AK75" s="16">
        <v>110.0</v>
      </c>
      <c r="AL75" s="17">
        <v>105.0</v>
      </c>
      <c r="AM75" s="18">
        <f t="shared" si="1"/>
        <v>20</v>
      </c>
      <c r="AN75" s="18">
        <f t="shared" si="2"/>
        <v>180</v>
      </c>
      <c r="AO75" s="18">
        <f t="shared" si="3"/>
        <v>85.213</v>
      </c>
    </row>
    <row r="76" ht="12.75" customHeight="1">
      <c r="A76" s="25" t="s">
        <v>95</v>
      </c>
      <c r="B76" s="15" t="s">
        <v>19</v>
      </c>
      <c r="C76" s="16">
        <v>50.0</v>
      </c>
      <c r="D76" s="16">
        <v>95.0</v>
      </c>
      <c r="E76" s="16">
        <v>70.59</v>
      </c>
      <c r="F76" s="16">
        <v>60.0</v>
      </c>
      <c r="G76" s="16">
        <v>120.0</v>
      </c>
      <c r="H76" s="16">
        <v>83.67</v>
      </c>
      <c r="I76" s="16">
        <v>65.0</v>
      </c>
      <c r="J76" s="16">
        <v>120.0</v>
      </c>
      <c r="K76" s="16">
        <v>89.92</v>
      </c>
      <c r="L76" s="16">
        <v>50.0</v>
      </c>
      <c r="M76" s="16">
        <v>90.0</v>
      </c>
      <c r="N76" s="16">
        <v>65.86</v>
      </c>
      <c r="O76" s="16">
        <v>55.0</v>
      </c>
      <c r="P76" s="16">
        <v>110.0</v>
      </c>
      <c r="Q76" s="16">
        <v>70.73</v>
      </c>
      <c r="R76" s="16">
        <v>60.0</v>
      </c>
      <c r="S76" s="16">
        <v>110.0</v>
      </c>
      <c r="T76" s="16">
        <v>76.53</v>
      </c>
      <c r="U76" s="16">
        <v>60.0</v>
      </c>
      <c r="V76" s="16">
        <v>110.0</v>
      </c>
      <c r="W76" s="16">
        <v>75.25</v>
      </c>
      <c r="X76" s="16">
        <v>60.0</v>
      </c>
      <c r="Y76" s="16">
        <v>80.0</v>
      </c>
      <c r="Z76" s="16">
        <v>65.33</v>
      </c>
      <c r="AA76" s="16">
        <v>20.0</v>
      </c>
      <c r="AB76" s="16">
        <v>70.0</v>
      </c>
      <c r="AC76" s="16">
        <v>63.53</v>
      </c>
      <c r="AD76" s="16">
        <v>50.0</v>
      </c>
      <c r="AE76" s="16">
        <v>70.0</v>
      </c>
      <c r="AF76" s="16">
        <v>63.88</v>
      </c>
      <c r="AG76" s="16">
        <v>45.0</v>
      </c>
      <c r="AH76" s="16">
        <v>65.0</v>
      </c>
      <c r="AI76" s="16">
        <v>53.32</v>
      </c>
      <c r="AJ76" s="16">
        <v>45.0</v>
      </c>
      <c r="AK76" s="16">
        <v>80.0</v>
      </c>
      <c r="AL76" s="17">
        <v>55.68</v>
      </c>
      <c r="AM76" s="18">
        <f t="shared" si="1"/>
        <v>20</v>
      </c>
      <c r="AN76" s="18">
        <f t="shared" si="2"/>
        <v>120</v>
      </c>
      <c r="AO76" s="18">
        <f t="shared" si="3"/>
        <v>69.52416667</v>
      </c>
    </row>
    <row r="77" ht="12.75" customHeight="1">
      <c r="A77" s="25" t="s">
        <v>96</v>
      </c>
      <c r="B77" s="15" t="s">
        <v>19</v>
      </c>
      <c r="C77" s="16" t="s">
        <v>28</v>
      </c>
      <c r="D77" s="16" t="s">
        <v>28</v>
      </c>
      <c r="E77" s="16" t="s">
        <v>28</v>
      </c>
      <c r="F77" s="16" t="s">
        <v>28</v>
      </c>
      <c r="G77" s="16" t="s">
        <v>28</v>
      </c>
      <c r="H77" s="16" t="s">
        <v>28</v>
      </c>
      <c r="I77" s="16" t="s">
        <v>28</v>
      </c>
      <c r="J77" s="16" t="s">
        <v>28</v>
      </c>
      <c r="K77" s="16" t="s">
        <v>28</v>
      </c>
      <c r="L77" s="16" t="s">
        <v>28</v>
      </c>
      <c r="M77" s="16" t="s">
        <v>28</v>
      </c>
      <c r="N77" s="16" t="s">
        <v>28</v>
      </c>
      <c r="O77" s="16">
        <v>30.0</v>
      </c>
      <c r="P77" s="16">
        <v>70.0</v>
      </c>
      <c r="Q77" s="16">
        <v>48.33</v>
      </c>
      <c r="R77" s="16">
        <v>30.0</v>
      </c>
      <c r="S77" s="16">
        <v>45.0</v>
      </c>
      <c r="T77" s="16">
        <v>34.5</v>
      </c>
      <c r="U77" s="16">
        <v>30.0</v>
      </c>
      <c r="V77" s="16">
        <v>35.0</v>
      </c>
      <c r="W77" s="16">
        <v>32.5</v>
      </c>
      <c r="X77" s="16" t="s">
        <v>28</v>
      </c>
      <c r="Y77" s="16" t="s">
        <v>28</v>
      </c>
      <c r="Z77" s="16" t="s">
        <v>28</v>
      </c>
      <c r="AA77" s="16" t="s">
        <v>28</v>
      </c>
      <c r="AB77" s="16" t="s">
        <v>28</v>
      </c>
      <c r="AC77" s="16" t="s">
        <v>28</v>
      </c>
      <c r="AD77" s="16" t="s">
        <v>28</v>
      </c>
      <c r="AE77" s="16" t="s">
        <v>28</v>
      </c>
      <c r="AF77" s="16" t="s">
        <v>28</v>
      </c>
      <c r="AG77" s="16" t="s">
        <v>28</v>
      </c>
      <c r="AH77" s="16" t="s">
        <v>28</v>
      </c>
      <c r="AI77" s="16" t="s">
        <v>28</v>
      </c>
      <c r="AJ77" s="16" t="s">
        <v>28</v>
      </c>
      <c r="AK77" s="16" t="s">
        <v>28</v>
      </c>
      <c r="AL77" s="17" t="s">
        <v>28</v>
      </c>
      <c r="AM77" s="18">
        <f t="shared" si="1"/>
        <v>30</v>
      </c>
      <c r="AN77" s="18">
        <f t="shared" si="2"/>
        <v>70</v>
      </c>
      <c r="AO77" s="18">
        <f t="shared" si="3"/>
        <v>38.44333333</v>
      </c>
    </row>
    <row r="78" ht="12.75" customHeight="1">
      <c r="A78" s="25" t="s">
        <v>97</v>
      </c>
      <c r="B78" s="15" t="s">
        <v>19</v>
      </c>
      <c r="C78" s="16" t="s">
        <v>28</v>
      </c>
      <c r="D78" s="16" t="s">
        <v>28</v>
      </c>
      <c r="E78" s="16" t="s">
        <v>28</v>
      </c>
      <c r="F78" s="16" t="s">
        <v>28</v>
      </c>
      <c r="G78" s="16" t="s">
        <v>28</v>
      </c>
      <c r="H78" s="16" t="s">
        <v>28</v>
      </c>
      <c r="I78" s="16" t="s">
        <v>28</v>
      </c>
      <c r="J78" s="16" t="s">
        <v>28</v>
      </c>
      <c r="K78" s="16" t="s">
        <v>28</v>
      </c>
      <c r="L78" s="16">
        <v>20.0</v>
      </c>
      <c r="M78" s="16">
        <v>30.0</v>
      </c>
      <c r="N78" s="16">
        <v>23.5</v>
      </c>
      <c r="O78" s="16">
        <v>25.0</v>
      </c>
      <c r="P78" s="16">
        <v>35.0</v>
      </c>
      <c r="Q78" s="16">
        <v>27.71</v>
      </c>
      <c r="R78" s="16">
        <v>30.0</v>
      </c>
      <c r="S78" s="16">
        <v>50.0</v>
      </c>
      <c r="T78" s="16">
        <v>35.5</v>
      </c>
      <c r="U78" s="16">
        <v>30.0</v>
      </c>
      <c r="V78" s="16">
        <v>50.0</v>
      </c>
      <c r="W78" s="16">
        <v>36.59</v>
      </c>
      <c r="X78" s="16">
        <v>30.0</v>
      </c>
      <c r="Y78" s="16">
        <v>45.0</v>
      </c>
      <c r="Z78" s="16">
        <v>37.26</v>
      </c>
      <c r="AA78" s="16">
        <v>30.0</v>
      </c>
      <c r="AB78" s="16">
        <v>40.0</v>
      </c>
      <c r="AC78" s="16">
        <v>36.91</v>
      </c>
      <c r="AD78" s="16">
        <v>35.0</v>
      </c>
      <c r="AE78" s="16">
        <v>55.0</v>
      </c>
      <c r="AF78" s="16">
        <v>47.2</v>
      </c>
      <c r="AG78" s="16">
        <v>45.0</v>
      </c>
      <c r="AH78" s="16">
        <v>200.0</v>
      </c>
      <c r="AI78" s="16">
        <v>83.32</v>
      </c>
      <c r="AJ78" s="16" t="s">
        <v>28</v>
      </c>
      <c r="AK78" s="16" t="s">
        <v>28</v>
      </c>
      <c r="AL78" s="17" t="s">
        <v>28</v>
      </c>
      <c r="AM78" s="18">
        <f t="shared" si="1"/>
        <v>20</v>
      </c>
      <c r="AN78" s="18">
        <f t="shared" si="2"/>
        <v>200</v>
      </c>
      <c r="AO78" s="18">
        <f t="shared" si="3"/>
        <v>40.99875</v>
      </c>
    </row>
    <row r="79" ht="12.75" customHeight="1">
      <c r="A79" s="25" t="s">
        <v>98</v>
      </c>
      <c r="B79" s="15" t="s">
        <v>19</v>
      </c>
      <c r="C79" s="16" t="s">
        <v>28</v>
      </c>
      <c r="D79" s="16" t="s">
        <v>28</v>
      </c>
      <c r="E79" s="16" t="s">
        <v>28</v>
      </c>
      <c r="F79" s="16">
        <v>90.0</v>
      </c>
      <c r="G79" s="16">
        <v>200.0</v>
      </c>
      <c r="H79" s="16">
        <v>141.9</v>
      </c>
      <c r="I79" s="16">
        <v>90.0</v>
      </c>
      <c r="J79" s="16">
        <v>110.0</v>
      </c>
      <c r="K79" s="16">
        <v>97.63</v>
      </c>
      <c r="L79" s="16" t="s">
        <v>28</v>
      </c>
      <c r="M79" s="16" t="s">
        <v>28</v>
      </c>
      <c r="N79" s="16" t="s">
        <v>28</v>
      </c>
      <c r="O79" s="16" t="s">
        <v>28</v>
      </c>
      <c r="P79" s="16" t="s">
        <v>28</v>
      </c>
      <c r="Q79" s="16" t="s">
        <v>28</v>
      </c>
      <c r="R79" s="16" t="s">
        <v>28</v>
      </c>
      <c r="S79" s="16" t="s">
        <v>28</v>
      </c>
      <c r="T79" s="16" t="s">
        <v>28</v>
      </c>
      <c r="U79" s="16" t="s">
        <v>28</v>
      </c>
      <c r="V79" s="16" t="s">
        <v>28</v>
      </c>
      <c r="W79" s="16" t="s">
        <v>28</v>
      </c>
      <c r="X79" s="16" t="s">
        <v>28</v>
      </c>
      <c r="Y79" s="16" t="s">
        <v>28</v>
      </c>
      <c r="Z79" s="16" t="s">
        <v>28</v>
      </c>
      <c r="AA79" s="16" t="s">
        <v>28</v>
      </c>
      <c r="AB79" s="16" t="s">
        <v>28</v>
      </c>
      <c r="AC79" s="16" t="s">
        <v>28</v>
      </c>
      <c r="AD79" s="16" t="s">
        <v>28</v>
      </c>
      <c r="AE79" s="16" t="s">
        <v>28</v>
      </c>
      <c r="AF79" s="16" t="s">
        <v>28</v>
      </c>
      <c r="AG79" s="16" t="s">
        <v>28</v>
      </c>
      <c r="AH79" s="16" t="s">
        <v>28</v>
      </c>
      <c r="AI79" s="16" t="s">
        <v>28</v>
      </c>
      <c r="AJ79" s="16" t="s">
        <v>28</v>
      </c>
      <c r="AK79" s="16" t="s">
        <v>28</v>
      </c>
      <c r="AL79" s="17" t="s">
        <v>28</v>
      </c>
      <c r="AM79" s="18">
        <f t="shared" si="1"/>
        <v>90</v>
      </c>
      <c r="AN79" s="18">
        <f t="shared" si="2"/>
        <v>200</v>
      </c>
      <c r="AO79" s="18">
        <f t="shared" si="3"/>
        <v>119.765</v>
      </c>
    </row>
    <row r="80" ht="12.75" customHeight="1">
      <c r="A80" s="25" t="s">
        <v>99</v>
      </c>
      <c r="B80" s="15" t="s">
        <v>19</v>
      </c>
      <c r="C80" s="16">
        <v>60.0</v>
      </c>
      <c r="D80" s="16">
        <v>80.0</v>
      </c>
      <c r="E80" s="16">
        <v>70.07</v>
      </c>
      <c r="F80" s="16">
        <v>60.0</v>
      </c>
      <c r="G80" s="16">
        <v>90.0</v>
      </c>
      <c r="H80" s="16">
        <v>67.66</v>
      </c>
      <c r="I80" s="16">
        <v>60.0</v>
      </c>
      <c r="J80" s="16">
        <v>70.0</v>
      </c>
      <c r="K80" s="16">
        <v>65.0</v>
      </c>
      <c r="L80" s="16">
        <v>60.0</v>
      </c>
      <c r="M80" s="16">
        <v>70.0</v>
      </c>
      <c r="N80" s="16">
        <v>66.15</v>
      </c>
      <c r="O80" s="16">
        <v>55.0</v>
      </c>
      <c r="P80" s="16">
        <v>80.0</v>
      </c>
      <c r="Q80" s="16">
        <v>66.4</v>
      </c>
      <c r="R80" s="16">
        <v>70.0</v>
      </c>
      <c r="S80" s="16">
        <v>80.0</v>
      </c>
      <c r="T80" s="16">
        <v>75.02</v>
      </c>
      <c r="U80" s="16">
        <v>50.0</v>
      </c>
      <c r="V80" s="16">
        <v>70.0</v>
      </c>
      <c r="W80" s="16">
        <v>57.64</v>
      </c>
      <c r="X80" s="16">
        <v>50.0</v>
      </c>
      <c r="Y80" s="16">
        <v>60.0</v>
      </c>
      <c r="Z80" s="16">
        <v>55.05</v>
      </c>
      <c r="AA80" s="16">
        <v>40.0</v>
      </c>
      <c r="AB80" s="16">
        <v>60.0</v>
      </c>
      <c r="AC80" s="16">
        <v>49.01</v>
      </c>
      <c r="AD80" s="16">
        <v>40.0</v>
      </c>
      <c r="AE80" s="16">
        <v>50.0</v>
      </c>
      <c r="AF80" s="16">
        <v>45.36</v>
      </c>
      <c r="AG80" s="16">
        <v>40.0</v>
      </c>
      <c r="AH80" s="16">
        <v>50.0</v>
      </c>
      <c r="AI80" s="16">
        <v>45.11</v>
      </c>
      <c r="AJ80" s="16">
        <v>40.0</v>
      </c>
      <c r="AK80" s="16">
        <v>55.0</v>
      </c>
      <c r="AL80" s="17">
        <v>46.53</v>
      </c>
      <c r="AM80" s="18">
        <f t="shared" si="1"/>
        <v>40</v>
      </c>
      <c r="AN80" s="18">
        <f t="shared" si="2"/>
        <v>90</v>
      </c>
      <c r="AO80" s="18">
        <f t="shared" si="3"/>
        <v>59.08333333</v>
      </c>
    </row>
    <row r="81" ht="12.75" customHeight="1">
      <c r="A81" s="25" t="s">
        <v>100</v>
      </c>
      <c r="B81" s="15" t="s">
        <v>19</v>
      </c>
      <c r="C81" s="16">
        <v>265.0</v>
      </c>
      <c r="D81" s="16">
        <v>280.0</v>
      </c>
      <c r="E81" s="16">
        <v>274.89</v>
      </c>
      <c r="F81" s="16">
        <v>270.0</v>
      </c>
      <c r="G81" s="16">
        <v>280.0</v>
      </c>
      <c r="H81" s="16">
        <v>275.0</v>
      </c>
      <c r="I81" s="16">
        <v>270.0</v>
      </c>
      <c r="J81" s="16">
        <v>280.0</v>
      </c>
      <c r="K81" s="16">
        <v>275.0</v>
      </c>
      <c r="L81" s="16">
        <v>270.0</v>
      </c>
      <c r="M81" s="16">
        <v>280.0</v>
      </c>
      <c r="N81" s="16">
        <v>275.0</v>
      </c>
      <c r="O81" s="16">
        <v>260.0</v>
      </c>
      <c r="P81" s="16">
        <v>280.0</v>
      </c>
      <c r="Q81" s="16">
        <v>274.84</v>
      </c>
      <c r="R81" s="16">
        <v>270.0</v>
      </c>
      <c r="S81" s="16">
        <v>280.0</v>
      </c>
      <c r="T81" s="16">
        <v>275.0</v>
      </c>
      <c r="U81" s="16">
        <v>270.0</v>
      </c>
      <c r="V81" s="16">
        <v>280.0</v>
      </c>
      <c r="W81" s="16">
        <v>275.0</v>
      </c>
      <c r="X81" s="16">
        <v>270.0</v>
      </c>
      <c r="Y81" s="16">
        <v>280.0</v>
      </c>
      <c r="Z81" s="16">
        <v>275.0</v>
      </c>
      <c r="AA81" s="16">
        <v>270.0</v>
      </c>
      <c r="AB81" s="16">
        <v>280.0</v>
      </c>
      <c r="AC81" s="16">
        <v>275.0</v>
      </c>
      <c r="AD81" s="16">
        <v>270.0</v>
      </c>
      <c r="AE81" s="16">
        <v>280.0</v>
      </c>
      <c r="AF81" s="16">
        <v>275.0</v>
      </c>
      <c r="AG81" s="16">
        <v>270.0</v>
      </c>
      <c r="AH81" s="16">
        <v>280.0</v>
      </c>
      <c r="AI81" s="16">
        <v>275.0</v>
      </c>
      <c r="AJ81" s="16">
        <v>260.0</v>
      </c>
      <c r="AK81" s="16">
        <v>280.0</v>
      </c>
      <c r="AL81" s="17">
        <v>272.42</v>
      </c>
      <c r="AM81" s="18">
        <f t="shared" si="1"/>
        <v>260</v>
      </c>
      <c r="AN81" s="18">
        <f t="shared" si="2"/>
        <v>280</v>
      </c>
      <c r="AO81" s="18">
        <f t="shared" si="3"/>
        <v>274.7625</v>
      </c>
    </row>
    <row r="82" ht="12.75" customHeight="1">
      <c r="A82" s="25" t="s">
        <v>101</v>
      </c>
      <c r="B82" s="15" t="s">
        <v>19</v>
      </c>
      <c r="C82" s="16">
        <v>50.0</v>
      </c>
      <c r="D82" s="16">
        <v>160.0</v>
      </c>
      <c r="E82" s="16">
        <v>93.55</v>
      </c>
      <c r="F82" s="16">
        <v>40.0</v>
      </c>
      <c r="G82" s="16">
        <v>160.0</v>
      </c>
      <c r="H82" s="16">
        <v>80.34</v>
      </c>
      <c r="I82" s="16">
        <v>30.0</v>
      </c>
      <c r="J82" s="16">
        <v>120.0</v>
      </c>
      <c r="K82" s="16">
        <v>62.93</v>
      </c>
      <c r="L82" s="16">
        <v>70.0</v>
      </c>
      <c r="M82" s="16">
        <v>120.0</v>
      </c>
      <c r="N82" s="16">
        <v>99.64</v>
      </c>
      <c r="O82" s="16">
        <v>55.0</v>
      </c>
      <c r="P82" s="16">
        <v>110.0</v>
      </c>
      <c r="Q82" s="16">
        <v>81.78</v>
      </c>
      <c r="R82" s="16">
        <v>60.0</v>
      </c>
      <c r="S82" s="16">
        <v>100.0</v>
      </c>
      <c r="T82" s="16">
        <v>79.25</v>
      </c>
      <c r="U82" s="16">
        <v>35.0</v>
      </c>
      <c r="V82" s="16">
        <v>100.0</v>
      </c>
      <c r="W82" s="16">
        <v>55.54</v>
      </c>
      <c r="X82" s="16">
        <v>35.0</v>
      </c>
      <c r="Y82" s="16">
        <v>60.0</v>
      </c>
      <c r="Z82" s="16">
        <v>45.44</v>
      </c>
      <c r="AA82" s="16">
        <v>35.0</v>
      </c>
      <c r="AB82" s="16">
        <v>50.0</v>
      </c>
      <c r="AC82" s="16">
        <v>43.21</v>
      </c>
      <c r="AD82" s="16">
        <v>35.0</v>
      </c>
      <c r="AE82" s="16">
        <v>65.0</v>
      </c>
      <c r="AF82" s="16">
        <v>48.7</v>
      </c>
      <c r="AG82" s="16">
        <v>40.0</v>
      </c>
      <c r="AH82" s="16">
        <v>75.0</v>
      </c>
      <c r="AI82" s="16">
        <v>53.76</v>
      </c>
      <c r="AJ82" s="16">
        <v>35.0</v>
      </c>
      <c r="AK82" s="16">
        <v>100.0</v>
      </c>
      <c r="AL82" s="17">
        <v>54.37</v>
      </c>
      <c r="AM82" s="18">
        <f t="shared" si="1"/>
        <v>30</v>
      </c>
      <c r="AN82" s="18">
        <f t="shared" si="2"/>
        <v>160</v>
      </c>
      <c r="AO82" s="18">
        <f t="shared" si="3"/>
        <v>66.5425</v>
      </c>
    </row>
    <row r="83" ht="12.75" customHeight="1">
      <c r="A83" s="25" t="s">
        <v>102</v>
      </c>
      <c r="B83" s="15" t="s">
        <v>19</v>
      </c>
      <c r="C83" s="16">
        <v>70.0</v>
      </c>
      <c r="D83" s="16">
        <v>100.0</v>
      </c>
      <c r="E83" s="16">
        <v>85.33</v>
      </c>
      <c r="F83" s="16">
        <v>50.0</v>
      </c>
      <c r="G83" s="16">
        <v>80.0</v>
      </c>
      <c r="H83" s="16">
        <v>70.88</v>
      </c>
      <c r="I83" s="16">
        <v>40.0</v>
      </c>
      <c r="J83" s="16">
        <v>160.0</v>
      </c>
      <c r="K83" s="16">
        <v>85.45</v>
      </c>
      <c r="L83" s="16">
        <v>90.0</v>
      </c>
      <c r="M83" s="16">
        <v>140.0</v>
      </c>
      <c r="N83" s="16">
        <v>111.12</v>
      </c>
      <c r="O83" s="16">
        <v>70.0</v>
      </c>
      <c r="P83" s="16">
        <v>130.0</v>
      </c>
      <c r="Q83" s="16">
        <v>97.63</v>
      </c>
      <c r="R83" s="16">
        <v>50.0</v>
      </c>
      <c r="S83" s="16">
        <v>120.0</v>
      </c>
      <c r="T83" s="16">
        <v>84.88</v>
      </c>
      <c r="U83" s="16">
        <v>50.0</v>
      </c>
      <c r="V83" s="16">
        <v>110.0</v>
      </c>
      <c r="W83" s="16">
        <v>84.59</v>
      </c>
      <c r="X83" s="16">
        <v>40.0</v>
      </c>
      <c r="Y83" s="16">
        <v>60.0</v>
      </c>
      <c r="Z83" s="16">
        <v>50.53</v>
      </c>
      <c r="AA83" s="16">
        <v>35.0</v>
      </c>
      <c r="AB83" s="16">
        <v>50.0</v>
      </c>
      <c r="AC83" s="16">
        <v>40.18</v>
      </c>
      <c r="AD83" s="16">
        <v>30.0</v>
      </c>
      <c r="AE83" s="16">
        <v>40.0</v>
      </c>
      <c r="AF83" s="16">
        <v>36.07</v>
      </c>
      <c r="AG83" s="16">
        <v>25.0</v>
      </c>
      <c r="AH83" s="16">
        <v>70.0</v>
      </c>
      <c r="AI83" s="16">
        <v>40.88</v>
      </c>
      <c r="AJ83" s="16">
        <v>50.0</v>
      </c>
      <c r="AK83" s="16">
        <v>110.0</v>
      </c>
      <c r="AL83" s="17">
        <v>74.7</v>
      </c>
      <c r="AM83" s="18">
        <f t="shared" si="1"/>
        <v>25</v>
      </c>
      <c r="AN83" s="18">
        <f t="shared" si="2"/>
        <v>160</v>
      </c>
      <c r="AO83" s="18">
        <f t="shared" si="3"/>
        <v>71.85333333</v>
      </c>
    </row>
    <row r="84" ht="12.75" customHeight="1">
      <c r="A84" s="25" t="s">
        <v>103</v>
      </c>
      <c r="B84" s="15" t="s">
        <v>19</v>
      </c>
      <c r="C84" s="16">
        <v>90.0</v>
      </c>
      <c r="D84" s="16">
        <v>210.0</v>
      </c>
      <c r="E84" s="16">
        <v>138.87</v>
      </c>
      <c r="F84" s="16">
        <v>50.0</v>
      </c>
      <c r="G84" s="16">
        <v>110.0</v>
      </c>
      <c r="H84" s="16">
        <v>75.94</v>
      </c>
      <c r="I84" s="16">
        <v>40.0</v>
      </c>
      <c r="J84" s="16">
        <v>150.0</v>
      </c>
      <c r="K84" s="16">
        <v>55.65</v>
      </c>
      <c r="L84" s="16">
        <v>50.0</v>
      </c>
      <c r="M84" s="16">
        <v>100.0</v>
      </c>
      <c r="N84" s="16">
        <v>82.81</v>
      </c>
      <c r="O84" s="16">
        <v>50.0</v>
      </c>
      <c r="P84" s="16">
        <v>210.0</v>
      </c>
      <c r="Q84" s="16">
        <v>80.32</v>
      </c>
      <c r="R84" s="16">
        <v>50.0</v>
      </c>
      <c r="S84" s="16">
        <v>70.0</v>
      </c>
      <c r="T84" s="16">
        <v>56.08</v>
      </c>
      <c r="U84" s="16">
        <v>50.0</v>
      </c>
      <c r="V84" s="16">
        <v>150.0</v>
      </c>
      <c r="W84" s="16">
        <v>103.33</v>
      </c>
      <c r="X84" s="16">
        <v>120.0</v>
      </c>
      <c r="Y84" s="16">
        <v>160.0</v>
      </c>
      <c r="Z84" s="16">
        <v>144.0</v>
      </c>
      <c r="AA84" s="16">
        <v>90.0</v>
      </c>
      <c r="AB84" s="16">
        <v>160.0</v>
      </c>
      <c r="AC84" s="16">
        <v>119.78</v>
      </c>
      <c r="AD84" s="16">
        <v>70.0</v>
      </c>
      <c r="AE84" s="16">
        <v>115.0</v>
      </c>
      <c r="AF84" s="16">
        <v>89.12</v>
      </c>
      <c r="AG84" s="16">
        <v>30.0</v>
      </c>
      <c r="AH84" s="16">
        <v>110.0</v>
      </c>
      <c r="AI84" s="16">
        <v>61.72</v>
      </c>
      <c r="AJ84" s="16">
        <v>50.0</v>
      </c>
      <c r="AK84" s="16">
        <v>110.0</v>
      </c>
      <c r="AL84" s="17">
        <v>86.09</v>
      </c>
      <c r="AM84" s="18">
        <f t="shared" si="1"/>
        <v>30</v>
      </c>
      <c r="AN84" s="18">
        <f t="shared" si="2"/>
        <v>210</v>
      </c>
      <c r="AO84" s="18">
        <f t="shared" si="3"/>
        <v>91.1425</v>
      </c>
    </row>
    <row r="85" ht="12.75" customHeight="1">
      <c r="A85" s="25" t="s">
        <v>104</v>
      </c>
      <c r="B85" s="15" t="s">
        <v>19</v>
      </c>
      <c r="C85" s="16">
        <v>90.0</v>
      </c>
      <c r="D85" s="16">
        <v>230.0</v>
      </c>
      <c r="E85" s="16">
        <v>144.68</v>
      </c>
      <c r="F85" s="16">
        <v>50.0</v>
      </c>
      <c r="G85" s="16">
        <v>200.0</v>
      </c>
      <c r="H85" s="16">
        <v>124.38</v>
      </c>
      <c r="I85" s="16">
        <v>40.0</v>
      </c>
      <c r="J85" s="16">
        <v>190.0</v>
      </c>
      <c r="K85" s="16">
        <v>68.87</v>
      </c>
      <c r="L85" s="16">
        <v>120.0</v>
      </c>
      <c r="M85" s="16">
        <v>490.0</v>
      </c>
      <c r="N85" s="16">
        <v>297.81</v>
      </c>
      <c r="O85" s="16">
        <v>50.0</v>
      </c>
      <c r="P85" s="16">
        <v>400.0</v>
      </c>
      <c r="Q85" s="16">
        <v>253.79</v>
      </c>
      <c r="R85" s="16">
        <v>90.0</v>
      </c>
      <c r="S85" s="16">
        <v>350.0</v>
      </c>
      <c r="T85" s="16">
        <v>152.67</v>
      </c>
      <c r="U85" s="16">
        <v>90.0</v>
      </c>
      <c r="V85" s="16">
        <v>360.0</v>
      </c>
      <c r="W85" s="16">
        <v>177.0</v>
      </c>
      <c r="X85" s="16">
        <v>80.0</v>
      </c>
      <c r="Y85" s="16">
        <v>250.0</v>
      </c>
      <c r="Z85" s="16">
        <v>123.0</v>
      </c>
      <c r="AA85" s="16">
        <v>50.0</v>
      </c>
      <c r="AB85" s="16">
        <v>100.0</v>
      </c>
      <c r="AC85" s="16">
        <v>78.44</v>
      </c>
      <c r="AD85" s="16">
        <v>30.0</v>
      </c>
      <c r="AE85" s="16">
        <v>100.0</v>
      </c>
      <c r="AF85" s="16">
        <v>63.38</v>
      </c>
      <c r="AG85" s="16">
        <v>20.0</v>
      </c>
      <c r="AH85" s="16">
        <v>80.0</v>
      </c>
      <c r="AI85" s="16">
        <v>38.67</v>
      </c>
      <c r="AJ85" s="16">
        <v>35.0</v>
      </c>
      <c r="AK85" s="16">
        <v>100.0</v>
      </c>
      <c r="AL85" s="17">
        <v>55.12</v>
      </c>
      <c r="AM85" s="18">
        <f t="shared" si="1"/>
        <v>20</v>
      </c>
      <c r="AN85" s="18">
        <f t="shared" si="2"/>
        <v>490</v>
      </c>
      <c r="AO85" s="18">
        <f t="shared" si="3"/>
        <v>131.4841667</v>
      </c>
    </row>
    <row r="86" ht="12.75" customHeight="1">
      <c r="A86" s="25" t="s">
        <v>105</v>
      </c>
      <c r="B86" s="15" t="s">
        <v>19</v>
      </c>
      <c r="C86" s="16">
        <v>280.0</v>
      </c>
      <c r="D86" s="16">
        <v>300.0</v>
      </c>
      <c r="E86" s="16">
        <v>285.15</v>
      </c>
      <c r="F86" s="16">
        <v>270.0</v>
      </c>
      <c r="G86" s="16">
        <v>320.0</v>
      </c>
      <c r="H86" s="16">
        <v>291.08</v>
      </c>
      <c r="I86" s="16">
        <v>310.0</v>
      </c>
      <c r="J86" s="16">
        <v>320.0</v>
      </c>
      <c r="K86" s="16">
        <v>315.0</v>
      </c>
      <c r="L86" s="16">
        <v>300.0</v>
      </c>
      <c r="M86" s="16">
        <v>350.0</v>
      </c>
      <c r="N86" s="16">
        <v>312.21</v>
      </c>
      <c r="O86" s="16">
        <v>280.0</v>
      </c>
      <c r="P86" s="16">
        <v>310.0</v>
      </c>
      <c r="Q86" s="16">
        <v>289.53</v>
      </c>
      <c r="R86" s="16">
        <v>290.0</v>
      </c>
      <c r="S86" s="16">
        <v>310.0</v>
      </c>
      <c r="T86" s="16">
        <v>304.64</v>
      </c>
      <c r="U86" s="16">
        <v>300.0</v>
      </c>
      <c r="V86" s="16">
        <v>320.0</v>
      </c>
      <c r="W86" s="16">
        <v>309.21</v>
      </c>
      <c r="X86" s="16">
        <v>310.0</v>
      </c>
      <c r="Y86" s="16">
        <v>340.0</v>
      </c>
      <c r="Z86" s="16">
        <v>333.63</v>
      </c>
      <c r="AA86" s="16">
        <v>330.0</v>
      </c>
      <c r="AB86" s="16">
        <v>390.0</v>
      </c>
      <c r="AC86" s="16">
        <v>344.26</v>
      </c>
      <c r="AD86" s="16">
        <v>340.0</v>
      </c>
      <c r="AE86" s="16">
        <v>350.0</v>
      </c>
      <c r="AF86" s="16">
        <v>344.78</v>
      </c>
      <c r="AG86" s="16">
        <v>300.0</v>
      </c>
      <c r="AH86" s="16">
        <v>350.0</v>
      </c>
      <c r="AI86" s="16">
        <v>333.5</v>
      </c>
      <c r="AJ86" s="16">
        <v>260.0</v>
      </c>
      <c r="AK86" s="16">
        <v>310.0</v>
      </c>
      <c r="AL86" s="17">
        <v>279.52</v>
      </c>
      <c r="AM86" s="18">
        <f t="shared" si="1"/>
        <v>260</v>
      </c>
      <c r="AN86" s="18">
        <f t="shared" si="2"/>
        <v>390</v>
      </c>
      <c r="AO86" s="18">
        <f t="shared" si="3"/>
        <v>311.8758333</v>
      </c>
    </row>
    <row r="87" ht="12.75" customHeight="1">
      <c r="A87" s="25" t="s">
        <v>106</v>
      </c>
      <c r="B87" s="15" t="s">
        <v>19</v>
      </c>
      <c r="C87" s="16">
        <v>130.0</v>
      </c>
      <c r="D87" s="16">
        <v>140.0</v>
      </c>
      <c r="E87" s="16">
        <v>134.88</v>
      </c>
      <c r="F87" s="16">
        <v>130.0</v>
      </c>
      <c r="G87" s="16">
        <v>220.0</v>
      </c>
      <c r="H87" s="16">
        <v>164.96</v>
      </c>
      <c r="I87" s="16">
        <v>210.0</v>
      </c>
      <c r="J87" s="16">
        <v>220.0</v>
      </c>
      <c r="K87" s="16">
        <v>214.95</v>
      </c>
      <c r="L87" s="16">
        <v>210.0</v>
      </c>
      <c r="M87" s="16">
        <v>250.0</v>
      </c>
      <c r="N87" s="16">
        <v>223.98</v>
      </c>
      <c r="O87" s="16">
        <v>240.0</v>
      </c>
      <c r="P87" s="16">
        <v>280.0</v>
      </c>
      <c r="Q87" s="16">
        <v>245.85</v>
      </c>
      <c r="R87" s="16">
        <v>270.0</v>
      </c>
      <c r="S87" s="16">
        <v>310.0</v>
      </c>
      <c r="T87" s="16">
        <v>275.33</v>
      </c>
      <c r="U87" s="16">
        <v>270.0</v>
      </c>
      <c r="V87" s="16">
        <v>290.0</v>
      </c>
      <c r="W87" s="16">
        <v>279.4</v>
      </c>
      <c r="X87" s="16">
        <v>280.0</v>
      </c>
      <c r="Y87" s="16">
        <v>330.0</v>
      </c>
      <c r="Z87" s="16">
        <v>303.87</v>
      </c>
      <c r="AA87" s="16">
        <v>300.0</v>
      </c>
      <c r="AB87" s="16">
        <v>320.0</v>
      </c>
      <c r="AC87" s="16">
        <v>310.51</v>
      </c>
      <c r="AD87" s="16">
        <v>310.0</v>
      </c>
      <c r="AE87" s="16">
        <v>320.0</v>
      </c>
      <c r="AF87" s="16">
        <v>314.89</v>
      </c>
      <c r="AG87" s="16">
        <v>310.0</v>
      </c>
      <c r="AH87" s="16">
        <v>350.0</v>
      </c>
      <c r="AI87" s="16">
        <v>315.75</v>
      </c>
      <c r="AJ87" s="16">
        <v>140.0</v>
      </c>
      <c r="AK87" s="16">
        <v>200.0</v>
      </c>
      <c r="AL87" s="17">
        <v>161.43</v>
      </c>
      <c r="AM87" s="18">
        <f t="shared" si="1"/>
        <v>130</v>
      </c>
      <c r="AN87" s="18">
        <f t="shared" si="2"/>
        <v>350</v>
      </c>
      <c r="AO87" s="18">
        <f t="shared" si="3"/>
        <v>245.4833333</v>
      </c>
    </row>
    <row r="88" ht="12.75" customHeight="1">
      <c r="A88" s="25" t="s">
        <v>107</v>
      </c>
      <c r="B88" s="15" t="s">
        <v>19</v>
      </c>
      <c r="C88" s="16">
        <v>90.0</v>
      </c>
      <c r="D88" s="16">
        <v>100.0</v>
      </c>
      <c r="E88" s="16">
        <v>95.0</v>
      </c>
      <c r="F88" s="16">
        <v>90.0</v>
      </c>
      <c r="G88" s="16">
        <v>190.0</v>
      </c>
      <c r="H88" s="16">
        <v>130.31</v>
      </c>
      <c r="I88" s="16">
        <v>180.0</v>
      </c>
      <c r="J88" s="16">
        <v>190.0</v>
      </c>
      <c r="K88" s="16">
        <v>185.0</v>
      </c>
      <c r="L88" s="16">
        <v>180.0</v>
      </c>
      <c r="M88" s="16">
        <v>220.0</v>
      </c>
      <c r="N88" s="16">
        <v>191.56</v>
      </c>
      <c r="O88" s="16">
        <v>200.0</v>
      </c>
      <c r="P88" s="16">
        <v>220.0</v>
      </c>
      <c r="Q88" s="16">
        <v>205.27</v>
      </c>
      <c r="R88" s="16">
        <v>200.0</v>
      </c>
      <c r="S88" s="16">
        <v>250.0</v>
      </c>
      <c r="T88" s="16">
        <v>205.67</v>
      </c>
      <c r="U88" s="16">
        <v>200.0</v>
      </c>
      <c r="V88" s="16">
        <v>210.0</v>
      </c>
      <c r="W88" s="16">
        <v>205.0</v>
      </c>
      <c r="X88" s="16">
        <v>200.0</v>
      </c>
      <c r="Y88" s="16">
        <v>210.0</v>
      </c>
      <c r="Z88" s="16">
        <v>205.0</v>
      </c>
      <c r="AA88" s="16">
        <v>200.0</v>
      </c>
      <c r="AB88" s="16">
        <v>310.0</v>
      </c>
      <c r="AC88" s="16">
        <v>206.67</v>
      </c>
      <c r="AD88" s="16">
        <v>70.0</v>
      </c>
      <c r="AE88" s="16">
        <v>210.0</v>
      </c>
      <c r="AF88" s="16">
        <v>200.52</v>
      </c>
      <c r="AG88" s="16">
        <v>200.0</v>
      </c>
      <c r="AH88" s="16">
        <v>210.0</v>
      </c>
      <c r="AI88" s="16">
        <v>205.0</v>
      </c>
      <c r="AJ88" s="16">
        <v>200.0</v>
      </c>
      <c r="AK88" s="16">
        <v>210.0</v>
      </c>
      <c r="AL88" s="17">
        <v>205.0</v>
      </c>
      <c r="AM88" s="18">
        <f t="shared" si="1"/>
        <v>70</v>
      </c>
      <c r="AN88" s="18">
        <f t="shared" si="2"/>
        <v>310</v>
      </c>
      <c r="AO88" s="18">
        <f t="shared" si="3"/>
        <v>186.6666667</v>
      </c>
    </row>
    <row r="89" ht="12.75" customHeight="1">
      <c r="A89" s="25" t="s">
        <v>108</v>
      </c>
      <c r="B89" s="15" t="s">
        <v>19</v>
      </c>
      <c r="C89" s="16">
        <v>90.0</v>
      </c>
      <c r="D89" s="16">
        <v>100.0</v>
      </c>
      <c r="E89" s="16">
        <v>95.0</v>
      </c>
      <c r="F89" s="16">
        <v>90.0</v>
      </c>
      <c r="G89" s="16">
        <v>100.0</v>
      </c>
      <c r="H89" s="16">
        <v>95.0</v>
      </c>
      <c r="I89" s="16">
        <v>90.0</v>
      </c>
      <c r="J89" s="16">
        <v>100.0</v>
      </c>
      <c r="K89" s="16">
        <v>95.0</v>
      </c>
      <c r="L89" s="16">
        <v>90.0</v>
      </c>
      <c r="M89" s="16">
        <v>220.0</v>
      </c>
      <c r="N89" s="16">
        <v>135.31</v>
      </c>
      <c r="O89" s="16">
        <v>190.0</v>
      </c>
      <c r="P89" s="16">
        <v>210.0</v>
      </c>
      <c r="Q89" s="16">
        <v>204.84</v>
      </c>
      <c r="R89" s="16">
        <v>200.0</v>
      </c>
      <c r="S89" s="16">
        <v>210.0</v>
      </c>
      <c r="T89" s="16">
        <v>205.0</v>
      </c>
      <c r="U89" s="16">
        <v>200.0</v>
      </c>
      <c r="V89" s="16">
        <v>210.0</v>
      </c>
      <c r="W89" s="16">
        <v>205.0</v>
      </c>
      <c r="X89" s="16">
        <v>70.0</v>
      </c>
      <c r="Y89" s="16">
        <v>210.0</v>
      </c>
      <c r="Z89" s="16">
        <v>137.33</v>
      </c>
      <c r="AA89" s="16">
        <v>70.0</v>
      </c>
      <c r="AB89" s="16">
        <v>80.0</v>
      </c>
      <c r="AC89" s="16">
        <v>75.0</v>
      </c>
      <c r="AD89" s="16">
        <v>70.0</v>
      </c>
      <c r="AE89" s="16">
        <v>80.0</v>
      </c>
      <c r="AF89" s="16">
        <v>75.0</v>
      </c>
      <c r="AG89" s="16">
        <v>70.0</v>
      </c>
      <c r="AH89" s="16">
        <v>80.0</v>
      </c>
      <c r="AI89" s="16">
        <v>75.0</v>
      </c>
      <c r="AJ89" s="16">
        <v>70.0</v>
      </c>
      <c r="AK89" s="16">
        <v>210.0</v>
      </c>
      <c r="AL89" s="17">
        <v>79.19</v>
      </c>
      <c r="AM89" s="18">
        <f t="shared" si="1"/>
        <v>70</v>
      </c>
      <c r="AN89" s="18">
        <f t="shared" si="2"/>
        <v>220</v>
      </c>
      <c r="AO89" s="18">
        <f t="shared" si="3"/>
        <v>123.0558333</v>
      </c>
    </row>
    <row r="90" ht="12.75" customHeight="1">
      <c r="A90" s="25" t="s">
        <v>109</v>
      </c>
      <c r="B90" s="15" t="s">
        <v>19</v>
      </c>
      <c r="C90" s="16">
        <v>230.0</v>
      </c>
      <c r="D90" s="16">
        <v>240.0</v>
      </c>
      <c r="E90" s="16">
        <v>235.0</v>
      </c>
      <c r="F90" s="16">
        <v>90.0</v>
      </c>
      <c r="G90" s="16">
        <v>240.0</v>
      </c>
      <c r="H90" s="16">
        <v>225.47</v>
      </c>
      <c r="I90" s="16">
        <v>225.0</v>
      </c>
      <c r="J90" s="16">
        <v>230.0</v>
      </c>
      <c r="K90" s="16">
        <v>227.5</v>
      </c>
      <c r="L90" s="16">
        <v>225.0</v>
      </c>
      <c r="M90" s="16">
        <v>230.0</v>
      </c>
      <c r="N90" s="16">
        <v>227.5</v>
      </c>
      <c r="O90" s="16">
        <v>220.0</v>
      </c>
      <c r="P90" s="16">
        <v>230.0</v>
      </c>
      <c r="Q90" s="16">
        <v>225.89</v>
      </c>
      <c r="R90" s="16">
        <v>220.0</v>
      </c>
      <c r="S90" s="16">
        <v>250.0</v>
      </c>
      <c r="T90" s="16">
        <v>234.92</v>
      </c>
      <c r="U90" s="16">
        <v>230.0</v>
      </c>
      <c r="V90" s="16">
        <v>240.0</v>
      </c>
      <c r="W90" s="16">
        <v>233.25</v>
      </c>
      <c r="X90" s="16">
        <v>230.0</v>
      </c>
      <c r="Y90" s="16">
        <v>250.0</v>
      </c>
      <c r="Z90" s="16">
        <v>235.83</v>
      </c>
      <c r="AA90" s="16">
        <v>220.0</v>
      </c>
      <c r="AB90" s="16">
        <v>235.0</v>
      </c>
      <c r="AC90" s="16">
        <v>229.4</v>
      </c>
      <c r="AD90" s="16">
        <v>225.0</v>
      </c>
      <c r="AE90" s="16">
        <v>230.0</v>
      </c>
      <c r="AF90" s="16">
        <v>227.5</v>
      </c>
      <c r="AG90" s="16">
        <v>220.0</v>
      </c>
      <c r="AH90" s="16">
        <v>230.0</v>
      </c>
      <c r="AI90" s="16">
        <v>224.26</v>
      </c>
      <c r="AJ90" s="16">
        <v>220.0</v>
      </c>
      <c r="AK90" s="16">
        <v>230.0</v>
      </c>
      <c r="AL90" s="17">
        <v>222.82</v>
      </c>
      <c r="AM90" s="18">
        <f t="shared" si="1"/>
        <v>90</v>
      </c>
      <c r="AN90" s="18">
        <f t="shared" si="2"/>
        <v>250</v>
      </c>
      <c r="AO90" s="18">
        <f t="shared" si="3"/>
        <v>229.1116667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5" footer="0.0" header="0.0" left="0.2" right="0.2" top="0.5"/>
  <pageSetup paperSize="9" orientation="landscape"/>
  <headerFooter>
    <oddFooter>&amp;CPage 'Price' &amp;P of </oddFooter>
  </headerFooter>
  <colBreaks count="2" manualBreakCount="2">
    <brk id="32" man="1"/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2" width="14.0"/>
    <col customWidth="1" min="13" max="13" width="17.13"/>
    <col customWidth="1" min="14" max="14" width="18.88"/>
    <col customWidth="1" min="15" max="25" width="8.63"/>
  </cols>
  <sheetData>
    <row r="1" ht="12.75" customHeight="1">
      <c r="A1" s="27" t="s">
        <v>110</v>
      </c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9" t="s">
        <v>111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30" t="s">
        <v>18</v>
      </c>
      <c r="B2" s="31">
        <v>231595.0</v>
      </c>
      <c r="C2" s="31">
        <v>40300.0</v>
      </c>
      <c r="D2" s="31">
        <v>24350.0</v>
      </c>
      <c r="E2" s="31">
        <v>45650.0</v>
      </c>
      <c r="F2" s="31">
        <v>126500.0</v>
      </c>
      <c r="G2" s="31">
        <v>8750.0</v>
      </c>
      <c r="H2" s="31">
        <v>6000.0</v>
      </c>
      <c r="I2" s="31" t="s">
        <v>112</v>
      </c>
      <c r="J2" s="31">
        <v>1742876.0</v>
      </c>
      <c r="K2" s="31">
        <v>489475.0</v>
      </c>
      <c r="L2" s="31">
        <v>1625085.0</v>
      </c>
      <c r="M2" s="31">
        <v>867555.0</v>
      </c>
      <c r="N2" s="32">
        <f t="shared" ref="N2:N92" si="1">SUM(B2:M2)</f>
        <v>5208136</v>
      </c>
    </row>
    <row r="3" ht="12.75" customHeight="1">
      <c r="A3" s="30" t="s">
        <v>20</v>
      </c>
      <c r="B3" s="31">
        <v>2686320.0</v>
      </c>
      <c r="C3" s="31">
        <v>2706935.0</v>
      </c>
      <c r="D3" s="31">
        <v>1246370.0</v>
      </c>
      <c r="E3" s="31">
        <v>1286025.0</v>
      </c>
      <c r="F3" s="31">
        <v>1563515.0</v>
      </c>
      <c r="G3" s="31">
        <v>1924420.0</v>
      </c>
      <c r="H3" s="31">
        <v>2695090.0</v>
      </c>
      <c r="I3" s="31">
        <v>2409880.0</v>
      </c>
      <c r="J3" s="31">
        <v>1616094.0</v>
      </c>
      <c r="K3" s="31">
        <v>2782571.0</v>
      </c>
      <c r="L3" s="31">
        <v>2105450.0</v>
      </c>
      <c r="M3" s="31">
        <v>2080022.0</v>
      </c>
      <c r="N3" s="32">
        <f t="shared" si="1"/>
        <v>25102692</v>
      </c>
    </row>
    <row r="4" ht="12.75" customHeight="1">
      <c r="A4" s="30" t="s">
        <v>21</v>
      </c>
      <c r="B4" s="31">
        <v>2765410.0</v>
      </c>
      <c r="C4" s="31">
        <v>4848190.0</v>
      </c>
      <c r="D4" s="31">
        <v>5116430.0</v>
      </c>
      <c r="E4" s="31">
        <v>6655396.0</v>
      </c>
      <c r="F4" s="31">
        <v>5983440.0</v>
      </c>
      <c r="G4" s="31">
        <v>5724450.0</v>
      </c>
      <c r="H4" s="31">
        <v>5506400.0</v>
      </c>
      <c r="I4" s="31">
        <v>5080204.0</v>
      </c>
      <c r="J4" s="31">
        <v>5401690.0</v>
      </c>
      <c r="K4" s="31">
        <v>4702518.0</v>
      </c>
      <c r="L4" s="31">
        <v>5348038.0</v>
      </c>
      <c r="M4" s="31">
        <v>4186140.0</v>
      </c>
      <c r="N4" s="32">
        <f t="shared" si="1"/>
        <v>61318306</v>
      </c>
    </row>
    <row r="5" ht="12.75" customHeight="1">
      <c r="A5" s="30" t="s">
        <v>22</v>
      </c>
      <c r="B5" s="31">
        <v>325970.0</v>
      </c>
      <c r="C5" s="31">
        <v>151400.0</v>
      </c>
      <c r="D5" s="31">
        <v>4000.0</v>
      </c>
      <c r="E5" s="31">
        <v>63000.0</v>
      </c>
      <c r="F5" s="31">
        <v>25750.0</v>
      </c>
      <c r="G5" s="31">
        <v>211570.0</v>
      </c>
      <c r="H5" s="31">
        <v>164850.0</v>
      </c>
      <c r="I5" s="31">
        <v>21000.0</v>
      </c>
      <c r="J5" s="31">
        <v>1316830.0</v>
      </c>
      <c r="K5" s="31">
        <v>2482222.0</v>
      </c>
      <c r="L5" s="31">
        <v>395780.0</v>
      </c>
      <c r="M5" s="31">
        <v>104760.0</v>
      </c>
      <c r="N5" s="32">
        <f t="shared" si="1"/>
        <v>5267132</v>
      </c>
    </row>
    <row r="6" ht="12.75" customHeight="1">
      <c r="A6" s="30" t="s">
        <v>23</v>
      </c>
      <c r="B6" s="31">
        <v>2452780.0</v>
      </c>
      <c r="C6" s="31">
        <v>2685088.0</v>
      </c>
      <c r="D6" s="31">
        <v>2040892.0</v>
      </c>
      <c r="E6" s="31">
        <v>2495740.0</v>
      </c>
      <c r="F6" s="31">
        <v>2390100.0</v>
      </c>
      <c r="G6" s="31">
        <v>2506360.0</v>
      </c>
      <c r="H6" s="31">
        <v>1891896.0</v>
      </c>
      <c r="I6" s="31">
        <v>2766740.0</v>
      </c>
      <c r="J6" s="31">
        <v>2500058.0</v>
      </c>
      <c r="K6" s="31">
        <v>2731744.0</v>
      </c>
      <c r="L6" s="31">
        <v>2806960.0</v>
      </c>
      <c r="M6" s="31">
        <v>2598560.0</v>
      </c>
      <c r="N6" s="32">
        <f t="shared" si="1"/>
        <v>29866918</v>
      </c>
    </row>
    <row r="7" ht="12.75" customHeight="1">
      <c r="A7" s="30" t="s">
        <v>24</v>
      </c>
      <c r="B7" s="31">
        <v>207625.0</v>
      </c>
      <c r="C7" s="31">
        <v>167955.0</v>
      </c>
      <c r="D7" s="31">
        <v>95900.0</v>
      </c>
      <c r="E7" s="31">
        <v>131460.0</v>
      </c>
      <c r="F7" s="31">
        <v>112915.0</v>
      </c>
      <c r="G7" s="31">
        <v>67390.0</v>
      </c>
      <c r="H7" s="31">
        <v>39560.0</v>
      </c>
      <c r="I7" s="31">
        <v>126700.0</v>
      </c>
      <c r="J7" s="31">
        <v>244065.0</v>
      </c>
      <c r="K7" s="31">
        <v>429895.0</v>
      </c>
      <c r="L7" s="31">
        <v>594190.0</v>
      </c>
      <c r="M7" s="31">
        <v>567845.0</v>
      </c>
      <c r="N7" s="32">
        <f t="shared" si="1"/>
        <v>2785500</v>
      </c>
    </row>
    <row r="8" ht="12.75" customHeight="1">
      <c r="A8" s="30" t="s">
        <v>25</v>
      </c>
      <c r="B8" s="31">
        <v>698600.0</v>
      </c>
      <c r="C8" s="31">
        <v>435770.0</v>
      </c>
      <c r="D8" s="31">
        <v>1044150.0</v>
      </c>
      <c r="E8" s="31">
        <v>1542630.0</v>
      </c>
      <c r="F8" s="31">
        <v>1470305.0</v>
      </c>
      <c r="G8" s="31">
        <v>1345905.0</v>
      </c>
      <c r="H8" s="31">
        <v>982090.0</v>
      </c>
      <c r="I8" s="31">
        <v>1073970.0</v>
      </c>
      <c r="J8" s="31">
        <v>1158410.0</v>
      </c>
      <c r="K8" s="31">
        <v>1371030.0</v>
      </c>
      <c r="L8" s="31">
        <v>1371097.0</v>
      </c>
      <c r="M8" s="31">
        <v>1046400.0</v>
      </c>
      <c r="N8" s="32">
        <f t="shared" si="1"/>
        <v>13540357</v>
      </c>
    </row>
    <row r="9" ht="12.75" customHeight="1">
      <c r="A9" s="30" t="s">
        <v>26</v>
      </c>
      <c r="B9" s="31">
        <v>943750.0</v>
      </c>
      <c r="C9" s="31">
        <v>629700.0</v>
      </c>
      <c r="D9" s="31">
        <v>745870.0</v>
      </c>
      <c r="E9" s="31">
        <v>956840.0</v>
      </c>
      <c r="F9" s="31">
        <v>1200710.0</v>
      </c>
      <c r="G9" s="31">
        <v>1260405.0</v>
      </c>
      <c r="H9" s="31">
        <v>1238310.0</v>
      </c>
      <c r="I9" s="31">
        <v>1708865.0</v>
      </c>
      <c r="J9" s="31">
        <v>2345870.0</v>
      </c>
      <c r="K9" s="31">
        <v>1906890.0</v>
      </c>
      <c r="L9" s="31">
        <v>2556210.0</v>
      </c>
      <c r="M9" s="31">
        <v>2037640.0</v>
      </c>
      <c r="N9" s="32">
        <f t="shared" si="1"/>
        <v>17531060</v>
      </c>
    </row>
    <row r="10" ht="12.75" customHeight="1">
      <c r="A10" s="30" t="s">
        <v>27</v>
      </c>
      <c r="B10" s="31">
        <v>27200.0</v>
      </c>
      <c r="C10" s="31">
        <v>9850.0</v>
      </c>
      <c r="D10" s="31">
        <v>500.0</v>
      </c>
      <c r="E10" s="31">
        <v>5500.0</v>
      </c>
      <c r="F10" s="31">
        <v>4700.0</v>
      </c>
      <c r="G10" s="31">
        <v>600.0</v>
      </c>
      <c r="H10" s="31">
        <v>102140.0</v>
      </c>
      <c r="I10" s="31">
        <v>684500.0</v>
      </c>
      <c r="J10" s="31">
        <v>914280.0</v>
      </c>
      <c r="K10" s="31">
        <v>1054970.0</v>
      </c>
      <c r="L10" s="31">
        <v>187790.0</v>
      </c>
      <c r="M10" s="31">
        <v>14000.0</v>
      </c>
      <c r="N10" s="32">
        <f t="shared" si="1"/>
        <v>3006030</v>
      </c>
    </row>
    <row r="11" ht="12.75" customHeight="1">
      <c r="A11" s="30" t="s">
        <v>29</v>
      </c>
      <c r="B11" s="31">
        <v>5000.0</v>
      </c>
      <c r="C11" s="31">
        <v>2000.0</v>
      </c>
      <c r="D11" s="31" t="s">
        <v>112</v>
      </c>
      <c r="E11" s="31" t="s">
        <v>112</v>
      </c>
      <c r="F11" s="31" t="s">
        <v>112</v>
      </c>
      <c r="G11" s="31" t="s">
        <v>112</v>
      </c>
      <c r="H11" s="31" t="s">
        <v>112</v>
      </c>
      <c r="I11" s="31">
        <v>8000.0</v>
      </c>
      <c r="J11" s="31">
        <v>128940.0</v>
      </c>
      <c r="K11" s="31">
        <v>71100.0</v>
      </c>
      <c r="L11" s="31">
        <v>44000.0</v>
      </c>
      <c r="M11" s="31">
        <v>46100.0</v>
      </c>
      <c r="N11" s="32">
        <f t="shared" si="1"/>
        <v>305140</v>
      </c>
    </row>
    <row r="12" ht="12.75" customHeight="1">
      <c r="A12" s="30" t="s">
        <v>30</v>
      </c>
      <c r="B12" s="31">
        <v>283465.0</v>
      </c>
      <c r="C12" s="31">
        <v>305855.0</v>
      </c>
      <c r="D12" s="31">
        <v>540910.0</v>
      </c>
      <c r="E12" s="31">
        <v>555695.0</v>
      </c>
      <c r="F12" s="31">
        <v>397165.0</v>
      </c>
      <c r="G12" s="31">
        <v>559765.0</v>
      </c>
      <c r="H12" s="31">
        <v>441346.0</v>
      </c>
      <c r="I12" s="31">
        <v>330196.0</v>
      </c>
      <c r="J12" s="31">
        <v>235975.0</v>
      </c>
      <c r="K12" s="31">
        <v>558135.0</v>
      </c>
      <c r="L12" s="31">
        <v>599845.0</v>
      </c>
      <c r="M12" s="31">
        <v>481035.0</v>
      </c>
      <c r="N12" s="32">
        <f t="shared" si="1"/>
        <v>5289387</v>
      </c>
    </row>
    <row r="13" ht="12.75" customHeight="1">
      <c r="A13" s="30" t="s">
        <v>31</v>
      </c>
      <c r="B13" s="31">
        <v>261440.0</v>
      </c>
      <c r="C13" s="31">
        <v>405725.0</v>
      </c>
      <c r="D13" s="31">
        <v>273135.0</v>
      </c>
      <c r="E13" s="31">
        <v>189075.0</v>
      </c>
      <c r="F13" s="31">
        <v>181850.0</v>
      </c>
      <c r="G13" s="31">
        <v>112725.0</v>
      </c>
      <c r="H13" s="31">
        <v>152825.0</v>
      </c>
      <c r="I13" s="31">
        <v>300153.0</v>
      </c>
      <c r="J13" s="31">
        <v>115500.0</v>
      </c>
      <c r="K13" s="31">
        <v>97300.0</v>
      </c>
      <c r="L13" s="31">
        <v>60040.0</v>
      </c>
      <c r="M13" s="31">
        <v>217350.0</v>
      </c>
      <c r="N13" s="32">
        <f t="shared" si="1"/>
        <v>2367118</v>
      </c>
    </row>
    <row r="14" ht="12.75" customHeight="1">
      <c r="A14" s="30" t="s">
        <v>32</v>
      </c>
      <c r="B14" s="31" t="s">
        <v>112</v>
      </c>
      <c r="C14" s="31" t="s">
        <v>112</v>
      </c>
      <c r="D14" s="31" t="s">
        <v>112</v>
      </c>
      <c r="E14" s="31" t="s">
        <v>112</v>
      </c>
      <c r="F14" s="31" t="s">
        <v>112</v>
      </c>
      <c r="G14" s="31" t="s">
        <v>112</v>
      </c>
      <c r="H14" s="31" t="s">
        <v>112</v>
      </c>
      <c r="I14" s="31" t="s">
        <v>112</v>
      </c>
      <c r="J14" s="31">
        <v>59500.0</v>
      </c>
      <c r="K14" s="31">
        <v>40000.0</v>
      </c>
      <c r="L14" s="31">
        <v>38500.0</v>
      </c>
      <c r="M14" s="31">
        <v>88100.0</v>
      </c>
      <c r="N14" s="32">
        <f t="shared" si="1"/>
        <v>226100</v>
      </c>
    </row>
    <row r="15" ht="12.75" customHeight="1">
      <c r="A15" s="30" t="s">
        <v>33</v>
      </c>
      <c r="B15" s="31">
        <v>948855.0</v>
      </c>
      <c r="C15" s="31">
        <v>909515.0</v>
      </c>
      <c r="D15" s="31">
        <v>594260.0</v>
      </c>
      <c r="E15" s="31">
        <v>625535.0</v>
      </c>
      <c r="F15" s="31">
        <v>424740.0</v>
      </c>
      <c r="G15" s="31">
        <v>485650.0</v>
      </c>
      <c r="H15" s="31">
        <v>199375.0</v>
      </c>
      <c r="I15" s="31">
        <v>225000.0</v>
      </c>
      <c r="J15" s="31">
        <v>146300.0</v>
      </c>
      <c r="K15" s="31">
        <v>113800.0</v>
      </c>
      <c r="L15" s="31">
        <v>5500.0</v>
      </c>
      <c r="M15" s="31">
        <v>150640.0</v>
      </c>
      <c r="N15" s="32">
        <f t="shared" si="1"/>
        <v>4829170</v>
      </c>
    </row>
    <row r="16" ht="12.75" customHeight="1">
      <c r="A16" s="30" t="s">
        <v>34</v>
      </c>
      <c r="B16" s="31">
        <v>61770.0</v>
      </c>
      <c r="C16" s="31">
        <v>2740.0</v>
      </c>
      <c r="D16" s="31" t="s">
        <v>112</v>
      </c>
      <c r="E16" s="31">
        <v>4100.0</v>
      </c>
      <c r="F16" s="31" t="s">
        <v>112</v>
      </c>
      <c r="G16" s="31" t="s">
        <v>112</v>
      </c>
      <c r="H16" s="31">
        <v>5400.0</v>
      </c>
      <c r="I16" s="31">
        <v>87460.0</v>
      </c>
      <c r="J16" s="31">
        <v>840250.0</v>
      </c>
      <c r="K16" s="31">
        <v>817810.0</v>
      </c>
      <c r="L16" s="31">
        <v>497335.0</v>
      </c>
      <c r="M16" s="31">
        <v>314850.0</v>
      </c>
      <c r="N16" s="32">
        <f t="shared" si="1"/>
        <v>2631715</v>
      </c>
    </row>
    <row r="17" ht="12.75" customHeight="1">
      <c r="A17" s="30" t="s">
        <v>35</v>
      </c>
      <c r="B17" s="31">
        <v>302650.0</v>
      </c>
      <c r="C17" s="31">
        <v>327475.0</v>
      </c>
      <c r="D17" s="31">
        <v>260345.0</v>
      </c>
      <c r="E17" s="31">
        <v>344355.0</v>
      </c>
      <c r="F17" s="31">
        <v>220700.0</v>
      </c>
      <c r="G17" s="31">
        <v>174250.0</v>
      </c>
      <c r="H17" s="31">
        <v>214125.0</v>
      </c>
      <c r="I17" s="31">
        <v>259700.0</v>
      </c>
      <c r="J17" s="31">
        <v>255160.0</v>
      </c>
      <c r="K17" s="31">
        <v>263000.0</v>
      </c>
      <c r="L17" s="31">
        <v>299165.0</v>
      </c>
      <c r="M17" s="31">
        <v>172425.0</v>
      </c>
      <c r="N17" s="32">
        <f t="shared" si="1"/>
        <v>3093350</v>
      </c>
    </row>
    <row r="18" ht="12.75" customHeight="1">
      <c r="A18" s="30" t="s">
        <v>36</v>
      </c>
      <c r="B18" s="31" t="s">
        <v>112</v>
      </c>
      <c r="C18" s="31">
        <v>14000.0</v>
      </c>
      <c r="D18" s="31" t="s">
        <v>112</v>
      </c>
      <c r="E18" s="31" t="s">
        <v>112</v>
      </c>
      <c r="F18" s="31" t="s">
        <v>112</v>
      </c>
      <c r="G18" s="31" t="s">
        <v>112</v>
      </c>
      <c r="H18" s="31" t="s">
        <v>112</v>
      </c>
      <c r="I18" s="31">
        <v>6000.0</v>
      </c>
      <c r="J18" s="31">
        <v>49450.0</v>
      </c>
      <c r="K18" s="31">
        <v>286250.0</v>
      </c>
      <c r="L18" s="31">
        <v>177300.0</v>
      </c>
      <c r="M18" s="31">
        <v>545900.0</v>
      </c>
      <c r="N18" s="32">
        <f t="shared" si="1"/>
        <v>1078900</v>
      </c>
    </row>
    <row r="19" ht="12.75" customHeight="1">
      <c r="A19" s="30" t="s">
        <v>37</v>
      </c>
      <c r="B19" s="31" t="s">
        <v>112</v>
      </c>
      <c r="C19" s="31">
        <v>950.0</v>
      </c>
      <c r="D19" s="31">
        <v>12735.0</v>
      </c>
      <c r="E19" s="31">
        <v>15100.0</v>
      </c>
      <c r="F19" s="31">
        <v>19825.0</v>
      </c>
      <c r="G19" s="31">
        <v>31800.0</v>
      </c>
      <c r="H19" s="31">
        <v>2000.0</v>
      </c>
      <c r="I19" s="31" t="s">
        <v>112</v>
      </c>
      <c r="J19" s="31">
        <v>2000.0</v>
      </c>
      <c r="K19" s="31">
        <v>2000.0</v>
      </c>
      <c r="L19" s="31" t="s">
        <v>112</v>
      </c>
      <c r="M19" s="31">
        <v>4000.0</v>
      </c>
      <c r="N19" s="32">
        <f t="shared" si="1"/>
        <v>90410</v>
      </c>
    </row>
    <row r="20" ht="12.75" customHeight="1">
      <c r="A20" s="30" t="s">
        <v>38</v>
      </c>
      <c r="B20" s="31">
        <v>600020.0</v>
      </c>
      <c r="C20" s="31">
        <v>627750.0</v>
      </c>
      <c r="D20" s="31">
        <v>741175.0</v>
      </c>
      <c r="E20" s="31">
        <v>678390.0</v>
      </c>
      <c r="F20" s="31">
        <v>411980.0</v>
      </c>
      <c r="G20" s="31">
        <v>227365.0</v>
      </c>
      <c r="H20" s="31">
        <v>369545.0</v>
      </c>
      <c r="I20" s="31">
        <v>206300.0</v>
      </c>
      <c r="J20" s="31">
        <v>114600.0</v>
      </c>
      <c r="K20" s="31">
        <v>161175.0</v>
      </c>
      <c r="L20" s="31">
        <v>85225.0</v>
      </c>
      <c r="M20" s="31">
        <v>274725.0</v>
      </c>
      <c r="N20" s="32">
        <f t="shared" si="1"/>
        <v>4498250</v>
      </c>
    </row>
    <row r="21" ht="12.75" customHeight="1">
      <c r="A21" s="30" t="s">
        <v>39</v>
      </c>
      <c r="B21" s="31">
        <v>251265.0</v>
      </c>
      <c r="C21" s="31">
        <v>392050.0</v>
      </c>
      <c r="D21" s="31">
        <v>439150.0</v>
      </c>
      <c r="E21" s="31">
        <v>502520.0</v>
      </c>
      <c r="F21" s="31">
        <v>343790.0</v>
      </c>
      <c r="G21" s="31">
        <v>288825.0</v>
      </c>
      <c r="H21" s="31">
        <v>167450.0</v>
      </c>
      <c r="I21" s="31">
        <v>89300.0</v>
      </c>
      <c r="J21" s="31">
        <v>17800.0</v>
      </c>
      <c r="K21" s="31">
        <v>13150.0</v>
      </c>
      <c r="L21" s="31">
        <v>15500.0</v>
      </c>
      <c r="M21" s="31">
        <v>213525.0</v>
      </c>
      <c r="N21" s="32">
        <f t="shared" si="1"/>
        <v>2734325</v>
      </c>
    </row>
    <row r="22" ht="12.75" customHeight="1">
      <c r="A22" s="30" t="s">
        <v>40</v>
      </c>
      <c r="B22" s="31">
        <v>459610.0</v>
      </c>
      <c r="C22" s="31">
        <v>444680.0</v>
      </c>
      <c r="D22" s="31">
        <v>486980.0</v>
      </c>
      <c r="E22" s="31">
        <v>430960.0</v>
      </c>
      <c r="F22" s="31">
        <v>391800.0</v>
      </c>
      <c r="G22" s="31">
        <v>399980.0</v>
      </c>
      <c r="H22" s="31">
        <v>221420.0</v>
      </c>
      <c r="I22" s="31">
        <v>178800.0</v>
      </c>
      <c r="J22" s="31">
        <v>84000.0</v>
      </c>
      <c r="K22" s="31">
        <v>4000.0</v>
      </c>
      <c r="L22" s="31" t="s">
        <v>112</v>
      </c>
      <c r="M22" s="31">
        <v>151770.0</v>
      </c>
      <c r="N22" s="32">
        <f t="shared" si="1"/>
        <v>3254000</v>
      </c>
    </row>
    <row r="23" ht="12.75" customHeight="1">
      <c r="A23" s="30" t="s">
        <v>41</v>
      </c>
      <c r="B23" s="31">
        <v>5000.0</v>
      </c>
      <c r="C23" s="31">
        <v>16850.0</v>
      </c>
      <c r="D23" s="31">
        <v>89100.0</v>
      </c>
      <c r="E23" s="31">
        <v>36200.0</v>
      </c>
      <c r="F23" s="31">
        <v>21500.0</v>
      </c>
      <c r="G23" s="31">
        <v>4000.0</v>
      </c>
      <c r="H23" s="31" t="s">
        <v>112</v>
      </c>
      <c r="I23" s="31" t="s">
        <v>112</v>
      </c>
      <c r="J23" s="31">
        <v>10000.0</v>
      </c>
      <c r="K23" s="31" t="s">
        <v>112</v>
      </c>
      <c r="L23" s="31" t="s">
        <v>112</v>
      </c>
      <c r="M23" s="31" t="s">
        <v>112</v>
      </c>
      <c r="N23" s="32">
        <f t="shared" si="1"/>
        <v>182650</v>
      </c>
    </row>
    <row r="24" ht="12.75" customHeight="1">
      <c r="A24" s="30" t="s">
        <v>42</v>
      </c>
      <c r="B24" s="31">
        <v>334680.0</v>
      </c>
      <c r="C24" s="31">
        <v>545355.0</v>
      </c>
      <c r="D24" s="31">
        <v>470710.0</v>
      </c>
      <c r="E24" s="31">
        <v>539050.0</v>
      </c>
      <c r="F24" s="31">
        <v>283370.0</v>
      </c>
      <c r="G24" s="31">
        <v>131800.0</v>
      </c>
      <c r="H24" s="31">
        <v>54375.0</v>
      </c>
      <c r="I24" s="31" t="s">
        <v>112</v>
      </c>
      <c r="J24" s="31" t="s">
        <v>112</v>
      </c>
      <c r="K24" s="31" t="s">
        <v>112</v>
      </c>
      <c r="L24" s="31">
        <v>2000.0</v>
      </c>
      <c r="M24" s="31">
        <v>9200.0</v>
      </c>
      <c r="N24" s="32">
        <f t="shared" si="1"/>
        <v>2370540</v>
      </c>
    </row>
    <row r="25" ht="12.75" customHeight="1">
      <c r="A25" s="30" t="s">
        <v>43</v>
      </c>
      <c r="B25" s="31" t="s">
        <v>112</v>
      </c>
      <c r="C25" s="31" t="s">
        <v>112</v>
      </c>
      <c r="D25" s="31">
        <v>1000.0</v>
      </c>
      <c r="E25" s="31" t="s">
        <v>112</v>
      </c>
      <c r="F25" s="31" t="s">
        <v>112</v>
      </c>
      <c r="G25" s="31" t="s">
        <v>112</v>
      </c>
      <c r="H25" s="31" t="s">
        <v>112</v>
      </c>
      <c r="I25" s="31" t="s">
        <v>112</v>
      </c>
      <c r="J25" s="31" t="s">
        <v>112</v>
      </c>
      <c r="K25" s="31" t="s">
        <v>112</v>
      </c>
      <c r="L25" s="31">
        <v>8000.0</v>
      </c>
      <c r="M25" s="31" t="s">
        <v>112</v>
      </c>
      <c r="N25" s="32">
        <f t="shared" si="1"/>
        <v>9000</v>
      </c>
    </row>
    <row r="26" ht="12.75" customHeight="1">
      <c r="A26" s="30" t="s">
        <v>44</v>
      </c>
      <c r="B26" s="31">
        <v>157500.0</v>
      </c>
      <c r="C26" s="31">
        <v>96000.0</v>
      </c>
      <c r="D26" s="31">
        <v>79500.0</v>
      </c>
      <c r="E26" s="31">
        <v>92000.0</v>
      </c>
      <c r="F26" s="31">
        <v>30700.0</v>
      </c>
      <c r="G26" s="31">
        <v>51000.0</v>
      </c>
      <c r="H26" s="31">
        <v>83000.0</v>
      </c>
      <c r="I26" s="31">
        <v>64000.0</v>
      </c>
      <c r="J26" s="31">
        <v>130524.0</v>
      </c>
      <c r="K26" s="31">
        <v>186463.0</v>
      </c>
      <c r="L26" s="31">
        <v>127725.0</v>
      </c>
      <c r="M26" s="31">
        <v>144407.0</v>
      </c>
      <c r="N26" s="32">
        <f t="shared" si="1"/>
        <v>1242819</v>
      </c>
    </row>
    <row r="27" ht="12.75" customHeight="1">
      <c r="A27" s="30" t="s">
        <v>45</v>
      </c>
      <c r="B27" s="31">
        <v>220270.0</v>
      </c>
      <c r="C27" s="31">
        <v>305300.0</v>
      </c>
      <c r="D27" s="31">
        <v>479990.0</v>
      </c>
      <c r="E27" s="31">
        <v>224260.0</v>
      </c>
      <c r="F27" s="31">
        <v>343070.0</v>
      </c>
      <c r="G27" s="31">
        <v>485900.0</v>
      </c>
      <c r="H27" s="31">
        <v>325530.0</v>
      </c>
      <c r="I27" s="31">
        <v>233800.0</v>
      </c>
      <c r="J27" s="31">
        <v>195800.0</v>
      </c>
      <c r="K27" s="31">
        <v>38200.0</v>
      </c>
      <c r="L27" s="31">
        <v>82650.0</v>
      </c>
      <c r="M27" s="31">
        <v>176200.0</v>
      </c>
      <c r="N27" s="32">
        <f t="shared" si="1"/>
        <v>3110970</v>
      </c>
    </row>
    <row r="28" ht="12.75" customHeight="1">
      <c r="A28" s="30" t="s">
        <v>113</v>
      </c>
      <c r="B28" s="31" t="s">
        <v>112</v>
      </c>
      <c r="C28" s="31" t="s">
        <v>112</v>
      </c>
      <c r="D28" s="31" t="s">
        <v>112</v>
      </c>
      <c r="E28" s="31" t="s">
        <v>112</v>
      </c>
      <c r="F28" s="31" t="s">
        <v>112</v>
      </c>
      <c r="G28" s="31" t="s">
        <v>112</v>
      </c>
      <c r="H28" s="31" t="s">
        <v>112</v>
      </c>
      <c r="I28" s="31" t="s">
        <v>112</v>
      </c>
      <c r="J28" s="31" t="s">
        <v>112</v>
      </c>
      <c r="K28" s="31">
        <v>100.0</v>
      </c>
      <c r="L28" s="31" t="s">
        <v>112</v>
      </c>
      <c r="M28" s="31" t="s">
        <v>112</v>
      </c>
      <c r="N28" s="32">
        <f t="shared" si="1"/>
        <v>100</v>
      </c>
    </row>
    <row r="29" ht="12.75" customHeight="1">
      <c r="A29" s="30" t="s">
        <v>46</v>
      </c>
      <c r="B29" s="31">
        <v>616200.0</v>
      </c>
      <c r="C29" s="31">
        <v>668395.0</v>
      </c>
      <c r="D29" s="31">
        <v>412750.0</v>
      </c>
      <c r="E29" s="31">
        <v>743910.0</v>
      </c>
      <c r="F29" s="31">
        <v>371945.0</v>
      </c>
      <c r="G29" s="31">
        <v>212150.0</v>
      </c>
      <c r="H29" s="31">
        <v>118575.0</v>
      </c>
      <c r="I29" s="31">
        <v>182000.0</v>
      </c>
      <c r="J29" s="31">
        <v>51600.0</v>
      </c>
      <c r="K29" s="31">
        <v>94800.0</v>
      </c>
      <c r="L29" s="31">
        <v>186700.0</v>
      </c>
      <c r="M29" s="31">
        <v>413470.0</v>
      </c>
      <c r="N29" s="32">
        <f t="shared" si="1"/>
        <v>4072495</v>
      </c>
    </row>
    <row r="30" ht="12.75" customHeight="1">
      <c r="A30" s="30" t="s">
        <v>47</v>
      </c>
      <c r="B30" s="31" t="s">
        <v>112</v>
      </c>
      <c r="C30" s="31" t="s">
        <v>112</v>
      </c>
      <c r="D30" s="31" t="s">
        <v>112</v>
      </c>
      <c r="E30" s="31" t="s">
        <v>112</v>
      </c>
      <c r="F30" s="31" t="s">
        <v>112</v>
      </c>
      <c r="G30" s="31" t="s">
        <v>112</v>
      </c>
      <c r="H30" s="31">
        <v>103950.0</v>
      </c>
      <c r="I30" s="31">
        <v>9500.0</v>
      </c>
      <c r="J30" s="31">
        <v>250750.0</v>
      </c>
      <c r="K30" s="31" t="s">
        <v>112</v>
      </c>
      <c r="L30" s="31" t="s">
        <v>112</v>
      </c>
      <c r="M30" s="31">
        <v>5000.0</v>
      </c>
      <c r="N30" s="32">
        <f t="shared" si="1"/>
        <v>369200</v>
      </c>
    </row>
    <row r="31" ht="12.75" customHeight="1">
      <c r="A31" s="30" t="s">
        <v>48</v>
      </c>
      <c r="B31" s="31">
        <v>7650.0</v>
      </c>
      <c r="C31" s="31">
        <v>5800.0</v>
      </c>
      <c r="D31" s="31">
        <v>6000.0</v>
      </c>
      <c r="E31" s="31" t="s">
        <v>112</v>
      </c>
      <c r="F31" s="31" t="s">
        <v>112</v>
      </c>
      <c r="G31" s="31" t="s">
        <v>112</v>
      </c>
      <c r="H31" s="31">
        <v>208705.0</v>
      </c>
      <c r="I31" s="31">
        <v>177085.0</v>
      </c>
      <c r="J31" s="31">
        <v>76500.0</v>
      </c>
      <c r="K31" s="31">
        <v>45475.0</v>
      </c>
      <c r="L31" s="31">
        <v>112095.0</v>
      </c>
      <c r="M31" s="31">
        <v>83400.0</v>
      </c>
      <c r="N31" s="32">
        <f t="shared" si="1"/>
        <v>722710</v>
      </c>
    </row>
    <row r="32" ht="12.75" customHeight="1">
      <c r="A32" s="30" t="s">
        <v>49</v>
      </c>
      <c r="B32" s="31">
        <v>7000.0</v>
      </c>
      <c r="C32" s="31" t="s">
        <v>112</v>
      </c>
      <c r="D32" s="31" t="s">
        <v>112</v>
      </c>
      <c r="E32" s="31">
        <v>500.0</v>
      </c>
      <c r="F32" s="31">
        <v>11000.0</v>
      </c>
      <c r="G32" s="31">
        <v>24500.0</v>
      </c>
      <c r="H32" s="31">
        <v>150275.0</v>
      </c>
      <c r="I32" s="31">
        <v>40450.0</v>
      </c>
      <c r="J32" s="31">
        <v>88400.0</v>
      </c>
      <c r="K32" s="31" t="s">
        <v>112</v>
      </c>
      <c r="L32" s="31" t="s">
        <v>112</v>
      </c>
      <c r="M32" s="31" t="s">
        <v>112</v>
      </c>
      <c r="N32" s="32">
        <f t="shared" si="1"/>
        <v>322125</v>
      </c>
    </row>
    <row r="33" ht="12.75" customHeight="1">
      <c r="A33" s="30" t="s">
        <v>50</v>
      </c>
      <c r="B33" s="31" t="s">
        <v>112</v>
      </c>
      <c r="C33" s="31">
        <v>31200.0</v>
      </c>
      <c r="D33" s="31">
        <v>176960.0</v>
      </c>
      <c r="E33" s="31">
        <v>362600.0</v>
      </c>
      <c r="F33" s="31">
        <v>780635.0</v>
      </c>
      <c r="G33" s="31">
        <v>527425.0</v>
      </c>
      <c r="H33" s="31">
        <v>234555.0</v>
      </c>
      <c r="I33" s="31">
        <v>72970.0</v>
      </c>
      <c r="J33" s="31">
        <v>18350.0</v>
      </c>
      <c r="K33" s="31">
        <v>10000.0</v>
      </c>
      <c r="L33" s="31">
        <v>31000.0</v>
      </c>
      <c r="M33" s="31" t="s">
        <v>112</v>
      </c>
      <c r="N33" s="32">
        <f t="shared" si="1"/>
        <v>2245695</v>
      </c>
    </row>
    <row r="34" ht="12.75" customHeight="1">
      <c r="A34" s="30" t="s">
        <v>51</v>
      </c>
      <c r="B34" s="31">
        <v>188600.0</v>
      </c>
      <c r="C34" s="31">
        <v>101100.0</v>
      </c>
      <c r="D34" s="31">
        <v>95503.0</v>
      </c>
      <c r="E34" s="31">
        <v>104700.0</v>
      </c>
      <c r="F34" s="31">
        <v>106800.0</v>
      </c>
      <c r="G34" s="31">
        <v>76800.0</v>
      </c>
      <c r="H34" s="31">
        <v>94800.0</v>
      </c>
      <c r="I34" s="31">
        <v>112500.0</v>
      </c>
      <c r="J34" s="31">
        <v>174330.0</v>
      </c>
      <c r="K34" s="31">
        <v>108070.0</v>
      </c>
      <c r="L34" s="31">
        <v>146000.0</v>
      </c>
      <c r="M34" s="31">
        <v>223022.0</v>
      </c>
      <c r="N34" s="32">
        <f t="shared" si="1"/>
        <v>1532225</v>
      </c>
    </row>
    <row r="35" ht="12.75" customHeight="1">
      <c r="A35" s="30" t="s">
        <v>52</v>
      </c>
      <c r="B35" s="31">
        <v>69200.0</v>
      </c>
      <c r="C35" s="31">
        <v>60800.0</v>
      </c>
      <c r="D35" s="31">
        <v>55100.0</v>
      </c>
      <c r="E35" s="31">
        <v>43500.0</v>
      </c>
      <c r="F35" s="31">
        <v>31300.0</v>
      </c>
      <c r="G35" s="31">
        <v>32000.0</v>
      </c>
      <c r="H35" s="31">
        <v>33700.0</v>
      </c>
      <c r="I35" s="31">
        <v>44830.0</v>
      </c>
      <c r="J35" s="31">
        <v>67300.0</v>
      </c>
      <c r="K35" s="31">
        <v>75500.0</v>
      </c>
      <c r="L35" s="31">
        <v>91500.0</v>
      </c>
      <c r="M35" s="31">
        <v>103000.0</v>
      </c>
      <c r="N35" s="32">
        <f t="shared" si="1"/>
        <v>707730</v>
      </c>
    </row>
    <row r="36" ht="12.75" customHeight="1">
      <c r="A36" s="30" t="s">
        <v>53</v>
      </c>
      <c r="B36" s="31">
        <v>64700.0</v>
      </c>
      <c r="C36" s="31">
        <v>57100.0</v>
      </c>
      <c r="D36" s="31">
        <v>52100.0</v>
      </c>
      <c r="E36" s="31">
        <v>38800.0</v>
      </c>
      <c r="F36" s="31">
        <v>30600.0</v>
      </c>
      <c r="G36" s="31">
        <v>30300.0</v>
      </c>
      <c r="H36" s="31">
        <v>32300.0</v>
      </c>
      <c r="I36" s="31">
        <v>40630.0</v>
      </c>
      <c r="J36" s="31">
        <v>66700.0</v>
      </c>
      <c r="K36" s="31">
        <v>102000.0</v>
      </c>
      <c r="L36" s="31">
        <v>91000.0</v>
      </c>
      <c r="M36" s="31">
        <v>103000.0</v>
      </c>
      <c r="N36" s="32">
        <f t="shared" si="1"/>
        <v>709230</v>
      </c>
    </row>
    <row r="37" ht="12.75" customHeight="1">
      <c r="A37" s="30" t="s">
        <v>54</v>
      </c>
      <c r="B37" s="31">
        <v>17800.0</v>
      </c>
      <c r="C37" s="31">
        <v>38300.0</v>
      </c>
      <c r="D37" s="31">
        <v>26400.0</v>
      </c>
      <c r="E37" s="31">
        <v>13500.0</v>
      </c>
      <c r="F37" s="31">
        <v>15000.0</v>
      </c>
      <c r="G37" s="31">
        <v>18100.0</v>
      </c>
      <c r="H37" s="31">
        <v>16600.0</v>
      </c>
      <c r="I37" s="31">
        <v>8500.0</v>
      </c>
      <c r="J37" s="31">
        <v>12530.0</v>
      </c>
      <c r="K37" s="31">
        <v>7060.0</v>
      </c>
      <c r="L37" s="31">
        <v>29000.0</v>
      </c>
      <c r="M37" s="31">
        <v>40200.0</v>
      </c>
      <c r="N37" s="32">
        <f t="shared" si="1"/>
        <v>242990</v>
      </c>
    </row>
    <row r="38" ht="12.75" customHeight="1">
      <c r="A38" s="30" t="s">
        <v>55</v>
      </c>
      <c r="B38" s="31">
        <v>62600.0</v>
      </c>
      <c r="C38" s="31">
        <v>56600.0</v>
      </c>
      <c r="D38" s="31">
        <v>49200.0</v>
      </c>
      <c r="E38" s="31">
        <v>36180.0</v>
      </c>
      <c r="F38" s="31">
        <v>31300.0</v>
      </c>
      <c r="G38" s="31">
        <v>29600.0</v>
      </c>
      <c r="H38" s="31">
        <v>31500.0</v>
      </c>
      <c r="I38" s="31">
        <v>42700.0</v>
      </c>
      <c r="J38" s="31">
        <v>56300.0</v>
      </c>
      <c r="K38" s="31">
        <v>65800.0</v>
      </c>
      <c r="L38" s="31">
        <v>89500.0</v>
      </c>
      <c r="M38" s="31">
        <v>100200.0</v>
      </c>
      <c r="N38" s="32">
        <f t="shared" si="1"/>
        <v>651480</v>
      </c>
    </row>
    <row r="39" ht="12.75" customHeight="1">
      <c r="A39" s="30" t="s">
        <v>56</v>
      </c>
      <c r="B39" s="31">
        <v>274800.0</v>
      </c>
      <c r="C39" s="31">
        <v>141950.0</v>
      </c>
      <c r="D39" s="31">
        <v>46700.0</v>
      </c>
      <c r="E39" s="31">
        <v>28400.0</v>
      </c>
      <c r="F39" s="31">
        <v>43900.0</v>
      </c>
      <c r="G39" s="31">
        <v>79000.0</v>
      </c>
      <c r="H39" s="31">
        <v>72350.0</v>
      </c>
      <c r="I39" s="31">
        <v>96150.0</v>
      </c>
      <c r="J39" s="31">
        <v>135300.0</v>
      </c>
      <c r="K39" s="31">
        <v>141950.0</v>
      </c>
      <c r="L39" s="31">
        <v>129600.0</v>
      </c>
      <c r="M39" s="31">
        <v>140300.0</v>
      </c>
      <c r="N39" s="32">
        <f t="shared" si="1"/>
        <v>1330400</v>
      </c>
    </row>
    <row r="40" ht="12.75" customHeight="1">
      <c r="A40" s="30" t="s">
        <v>57</v>
      </c>
      <c r="B40" s="31">
        <v>3800.0</v>
      </c>
      <c r="C40" s="31" t="s">
        <v>112</v>
      </c>
      <c r="D40" s="31" t="s">
        <v>112</v>
      </c>
      <c r="E40" s="31" t="s">
        <v>112</v>
      </c>
      <c r="F40" s="31" t="s">
        <v>112</v>
      </c>
      <c r="G40" s="31" t="s">
        <v>112</v>
      </c>
      <c r="H40" s="31">
        <v>400.0</v>
      </c>
      <c r="I40" s="31">
        <v>15450.0</v>
      </c>
      <c r="J40" s="31">
        <v>47000.0</v>
      </c>
      <c r="K40" s="31">
        <v>20925.0</v>
      </c>
      <c r="L40" s="31">
        <v>13400.0</v>
      </c>
      <c r="M40" s="31">
        <v>25680.0</v>
      </c>
      <c r="N40" s="32">
        <f t="shared" si="1"/>
        <v>126655</v>
      </c>
    </row>
    <row r="41" ht="12.75" customHeight="1">
      <c r="A41" s="30" t="s">
        <v>58</v>
      </c>
      <c r="B41" s="31" t="s">
        <v>112</v>
      </c>
      <c r="C41" s="31" t="s">
        <v>112</v>
      </c>
      <c r="D41" s="31" t="s">
        <v>112</v>
      </c>
      <c r="E41" s="31">
        <v>1000.0</v>
      </c>
      <c r="F41" s="31" t="s">
        <v>112</v>
      </c>
      <c r="G41" s="31" t="s">
        <v>112</v>
      </c>
      <c r="H41" s="31">
        <v>48500.0</v>
      </c>
      <c r="I41" s="31">
        <v>105600.0</v>
      </c>
      <c r="J41" s="31">
        <v>743000.0</v>
      </c>
      <c r="K41" s="31">
        <v>63800.0</v>
      </c>
      <c r="L41" s="31">
        <v>28000.0</v>
      </c>
      <c r="M41" s="31">
        <v>2700.0</v>
      </c>
      <c r="N41" s="32">
        <f t="shared" si="1"/>
        <v>992600</v>
      </c>
    </row>
    <row r="42" ht="12.75" customHeight="1">
      <c r="A42" s="30" t="s">
        <v>59</v>
      </c>
      <c r="B42" s="31">
        <v>114452.0</v>
      </c>
      <c r="C42" s="31">
        <v>105500.0</v>
      </c>
      <c r="D42" s="31">
        <v>98700.0</v>
      </c>
      <c r="E42" s="31">
        <v>105000.0</v>
      </c>
      <c r="F42" s="31">
        <v>72150.0</v>
      </c>
      <c r="G42" s="31">
        <v>56200.0</v>
      </c>
      <c r="H42" s="31">
        <v>69820.0</v>
      </c>
      <c r="I42" s="31">
        <v>80100.0</v>
      </c>
      <c r="J42" s="31">
        <v>86575.0</v>
      </c>
      <c r="K42" s="31">
        <v>94275.0</v>
      </c>
      <c r="L42" s="31">
        <v>94800.0</v>
      </c>
      <c r="M42" s="31">
        <v>78025.0</v>
      </c>
      <c r="N42" s="32">
        <f t="shared" si="1"/>
        <v>1055597</v>
      </c>
    </row>
    <row r="43" ht="12.75" customHeight="1">
      <c r="A43" s="30" t="s">
        <v>60</v>
      </c>
      <c r="B43" s="31" t="s">
        <v>112</v>
      </c>
      <c r="C43" s="31">
        <v>16430.0</v>
      </c>
      <c r="D43" s="31">
        <v>18850.0</v>
      </c>
      <c r="E43" s="31">
        <v>18400.0</v>
      </c>
      <c r="F43" s="31">
        <v>3200.0</v>
      </c>
      <c r="G43" s="31">
        <v>300.0</v>
      </c>
      <c r="H43" s="31" t="s">
        <v>112</v>
      </c>
      <c r="I43" s="31" t="s">
        <v>112</v>
      </c>
      <c r="J43" s="31">
        <v>2000.0</v>
      </c>
      <c r="K43" s="31">
        <v>13000.0</v>
      </c>
      <c r="L43" s="31" t="s">
        <v>112</v>
      </c>
      <c r="M43" s="31">
        <v>1000.0</v>
      </c>
      <c r="N43" s="32">
        <f t="shared" si="1"/>
        <v>73180</v>
      </c>
    </row>
    <row r="44" ht="12.75" customHeight="1">
      <c r="A44" s="30" t="s">
        <v>61</v>
      </c>
      <c r="B44" s="31">
        <v>5470.0</v>
      </c>
      <c r="C44" s="31">
        <v>30500.0</v>
      </c>
      <c r="D44" s="31">
        <v>56050.0</v>
      </c>
      <c r="E44" s="31">
        <v>80370.0</v>
      </c>
      <c r="F44" s="31">
        <v>77750.0</v>
      </c>
      <c r="G44" s="31">
        <v>14750.0</v>
      </c>
      <c r="H44" s="31" t="s">
        <v>112</v>
      </c>
      <c r="I44" s="31" t="s">
        <v>112</v>
      </c>
      <c r="J44" s="31" t="s">
        <v>112</v>
      </c>
      <c r="K44" s="31" t="s">
        <v>112</v>
      </c>
      <c r="L44" s="31" t="s">
        <v>112</v>
      </c>
      <c r="M44" s="31">
        <v>1000.0</v>
      </c>
      <c r="N44" s="32">
        <f t="shared" si="1"/>
        <v>265890</v>
      </c>
    </row>
    <row r="45" ht="12.75" customHeight="1">
      <c r="A45" s="30" t="s">
        <v>62</v>
      </c>
      <c r="B45" s="31">
        <v>41000.0</v>
      </c>
      <c r="C45" s="31">
        <v>36700.0</v>
      </c>
      <c r="D45" s="31">
        <v>10600.0</v>
      </c>
      <c r="E45" s="31">
        <v>50.0</v>
      </c>
      <c r="F45" s="31">
        <v>50.0</v>
      </c>
      <c r="G45" s="31" t="s">
        <v>112</v>
      </c>
      <c r="H45" s="31">
        <v>50.0</v>
      </c>
      <c r="I45" s="31">
        <v>34330.0</v>
      </c>
      <c r="J45" s="31">
        <v>84600.0</v>
      </c>
      <c r="K45" s="31">
        <v>133700.0</v>
      </c>
      <c r="L45" s="31">
        <v>132100.0</v>
      </c>
      <c r="M45" s="31">
        <v>29050.0</v>
      </c>
      <c r="N45" s="32">
        <f t="shared" si="1"/>
        <v>502230</v>
      </c>
    </row>
    <row r="46" ht="12.75" customHeight="1">
      <c r="A46" s="30" t="s">
        <v>63</v>
      </c>
      <c r="B46" s="31">
        <v>1450.0</v>
      </c>
      <c r="C46" s="31">
        <v>1450.0</v>
      </c>
      <c r="D46" s="31">
        <v>2150.0</v>
      </c>
      <c r="E46" s="31">
        <v>2130.0</v>
      </c>
      <c r="F46" s="31">
        <v>1900.0</v>
      </c>
      <c r="G46" s="31">
        <v>550.0</v>
      </c>
      <c r="H46" s="31" t="s">
        <v>112</v>
      </c>
      <c r="I46" s="31" t="s">
        <v>112</v>
      </c>
      <c r="J46" s="31">
        <v>1860.0</v>
      </c>
      <c r="K46" s="31">
        <v>1030.0</v>
      </c>
      <c r="L46" s="31">
        <v>8280.0</v>
      </c>
      <c r="M46" s="31">
        <v>6440.0</v>
      </c>
      <c r="N46" s="32">
        <f t="shared" si="1"/>
        <v>27240</v>
      </c>
    </row>
    <row r="47" ht="12.75" customHeight="1">
      <c r="A47" s="30" t="s">
        <v>64</v>
      </c>
      <c r="B47" s="31">
        <v>1000.0</v>
      </c>
      <c r="C47" s="31" t="s">
        <v>112</v>
      </c>
      <c r="D47" s="31" t="s">
        <v>112</v>
      </c>
      <c r="E47" s="31" t="s">
        <v>112</v>
      </c>
      <c r="F47" s="31" t="s">
        <v>112</v>
      </c>
      <c r="G47" s="31" t="s">
        <v>112</v>
      </c>
      <c r="H47" s="31" t="s">
        <v>112</v>
      </c>
      <c r="I47" s="31" t="s">
        <v>112</v>
      </c>
      <c r="J47" s="31">
        <v>4000.0</v>
      </c>
      <c r="K47" s="31" t="s">
        <v>112</v>
      </c>
      <c r="L47" s="31" t="s">
        <v>112</v>
      </c>
      <c r="M47" s="31" t="s">
        <v>112</v>
      </c>
      <c r="N47" s="32">
        <f t="shared" si="1"/>
        <v>5000</v>
      </c>
    </row>
    <row r="48" ht="12.75" customHeight="1">
      <c r="A48" s="30" t="s">
        <v>65</v>
      </c>
      <c r="B48" s="31" t="s">
        <v>112</v>
      </c>
      <c r="C48" s="31" t="s">
        <v>112</v>
      </c>
      <c r="D48" s="31" t="s">
        <v>112</v>
      </c>
      <c r="E48" s="31" t="s">
        <v>112</v>
      </c>
      <c r="F48" s="31" t="s">
        <v>112</v>
      </c>
      <c r="G48" s="31" t="s">
        <v>112</v>
      </c>
      <c r="H48" s="31" t="s">
        <v>112</v>
      </c>
      <c r="I48" s="31" t="s">
        <v>112</v>
      </c>
      <c r="J48" s="31">
        <v>2000.0</v>
      </c>
      <c r="K48" s="31" t="s">
        <v>112</v>
      </c>
      <c r="L48" s="31">
        <v>1200.0</v>
      </c>
      <c r="M48" s="31">
        <v>6125.0</v>
      </c>
      <c r="N48" s="32">
        <f t="shared" si="1"/>
        <v>9325</v>
      </c>
    </row>
    <row r="49" ht="12.75" customHeight="1">
      <c r="A49" s="30" t="s">
        <v>66</v>
      </c>
      <c r="B49" s="31">
        <v>4900.0</v>
      </c>
      <c r="C49" s="31">
        <v>3250.0</v>
      </c>
      <c r="D49" s="31">
        <v>1600.0</v>
      </c>
      <c r="E49" s="31">
        <v>1550.0</v>
      </c>
      <c r="F49" s="31">
        <v>1450.0</v>
      </c>
      <c r="G49" s="31">
        <v>1280.0</v>
      </c>
      <c r="H49" s="31">
        <v>310.0</v>
      </c>
      <c r="I49" s="31">
        <v>100.0</v>
      </c>
      <c r="J49" s="31">
        <v>12200.0</v>
      </c>
      <c r="K49" s="31">
        <v>1051.0</v>
      </c>
      <c r="L49" s="31">
        <v>1300.0</v>
      </c>
      <c r="M49" s="31">
        <v>1500.0</v>
      </c>
      <c r="N49" s="32">
        <f t="shared" si="1"/>
        <v>30491</v>
      </c>
    </row>
    <row r="50" ht="12.75" customHeight="1">
      <c r="A50" s="30" t="s">
        <v>67</v>
      </c>
      <c r="B50" s="31">
        <v>1490.0</v>
      </c>
      <c r="C50" s="31">
        <v>1550.0</v>
      </c>
      <c r="D50" s="31">
        <v>1450.0</v>
      </c>
      <c r="E50" s="31">
        <v>1950.0</v>
      </c>
      <c r="F50" s="31">
        <v>1430.0</v>
      </c>
      <c r="G50" s="31">
        <v>1330.0</v>
      </c>
      <c r="H50" s="31">
        <v>1240.0</v>
      </c>
      <c r="I50" s="31">
        <v>1850.0</v>
      </c>
      <c r="J50" s="31">
        <v>12755.0</v>
      </c>
      <c r="K50" s="31">
        <v>2000.0</v>
      </c>
      <c r="L50" s="31">
        <v>13950.0</v>
      </c>
      <c r="M50" s="31">
        <v>18200.0</v>
      </c>
      <c r="N50" s="32">
        <f t="shared" si="1"/>
        <v>59195</v>
      </c>
    </row>
    <row r="51" ht="12.75" customHeight="1">
      <c r="A51" s="30" t="s">
        <v>68</v>
      </c>
      <c r="B51" s="31">
        <v>1460.0</v>
      </c>
      <c r="C51" s="31">
        <v>900.0</v>
      </c>
      <c r="D51" s="31">
        <v>790.0</v>
      </c>
      <c r="E51" s="31">
        <v>520.0</v>
      </c>
      <c r="F51" s="31">
        <v>320.0</v>
      </c>
      <c r="G51" s="31">
        <v>30.0</v>
      </c>
      <c r="H51" s="31" t="s">
        <v>112</v>
      </c>
      <c r="I51" s="31">
        <v>400.0</v>
      </c>
      <c r="J51" s="31">
        <v>880.0</v>
      </c>
      <c r="K51" s="31">
        <v>1020.0</v>
      </c>
      <c r="L51" s="31">
        <v>6130.0</v>
      </c>
      <c r="M51" s="31">
        <v>1430.0</v>
      </c>
      <c r="N51" s="32">
        <f t="shared" si="1"/>
        <v>13880</v>
      </c>
    </row>
    <row r="52" ht="12.75" customHeight="1">
      <c r="A52" s="30" t="s">
        <v>69</v>
      </c>
      <c r="B52" s="31">
        <v>900.0</v>
      </c>
      <c r="C52" s="31">
        <v>970.0</v>
      </c>
      <c r="D52" s="31">
        <v>890.0</v>
      </c>
      <c r="E52" s="31">
        <v>980.0</v>
      </c>
      <c r="F52" s="31">
        <v>800.0</v>
      </c>
      <c r="G52" s="31">
        <v>1100.0</v>
      </c>
      <c r="H52" s="31">
        <v>960.0</v>
      </c>
      <c r="I52" s="31">
        <v>900.0</v>
      </c>
      <c r="J52" s="31">
        <v>2040.0</v>
      </c>
      <c r="K52" s="31">
        <v>775.0</v>
      </c>
      <c r="L52" s="31">
        <v>3750.0</v>
      </c>
      <c r="M52" s="31">
        <v>900.0</v>
      </c>
      <c r="N52" s="32">
        <f t="shared" si="1"/>
        <v>14965</v>
      </c>
    </row>
    <row r="53" ht="12.75" customHeight="1">
      <c r="A53" s="30" t="s">
        <v>70</v>
      </c>
      <c r="B53" s="31">
        <v>960.0</v>
      </c>
      <c r="C53" s="31">
        <v>940.0</v>
      </c>
      <c r="D53" s="31">
        <v>1900.0</v>
      </c>
      <c r="E53" s="31">
        <v>970.0</v>
      </c>
      <c r="F53" s="31">
        <v>830.0</v>
      </c>
      <c r="G53" s="31">
        <v>1120.0</v>
      </c>
      <c r="H53" s="31">
        <v>760.0</v>
      </c>
      <c r="I53" s="31">
        <v>900.0</v>
      </c>
      <c r="J53" s="31">
        <v>840.0</v>
      </c>
      <c r="K53" s="31">
        <v>650.0</v>
      </c>
      <c r="L53" s="31">
        <v>780.0</v>
      </c>
      <c r="M53" s="31">
        <v>900.0</v>
      </c>
      <c r="N53" s="32">
        <f t="shared" si="1"/>
        <v>11550</v>
      </c>
    </row>
    <row r="54" ht="12.75" customHeight="1">
      <c r="A54" s="30" t="s">
        <v>71</v>
      </c>
      <c r="B54" s="31">
        <v>1910.0</v>
      </c>
      <c r="C54" s="31">
        <v>1500.0</v>
      </c>
      <c r="D54" s="31">
        <v>1460.0</v>
      </c>
      <c r="E54" s="31">
        <v>1690.0</v>
      </c>
      <c r="F54" s="31">
        <v>1390.0</v>
      </c>
      <c r="G54" s="31">
        <v>1790.0</v>
      </c>
      <c r="H54" s="31">
        <v>1220.0</v>
      </c>
      <c r="I54" s="31">
        <v>1500.0</v>
      </c>
      <c r="J54" s="31">
        <v>1400.0</v>
      </c>
      <c r="K54" s="31">
        <v>2700.0</v>
      </c>
      <c r="L54" s="31">
        <v>14730.0</v>
      </c>
      <c r="M54" s="31">
        <v>16850.0</v>
      </c>
      <c r="N54" s="32">
        <f t="shared" si="1"/>
        <v>48140</v>
      </c>
    </row>
    <row r="55" ht="12.75" customHeight="1">
      <c r="A55" s="30" t="s">
        <v>72</v>
      </c>
      <c r="B55" s="31">
        <v>2460.0</v>
      </c>
      <c r="C55" s="31">
        <v>2800.0</v>
      </c>
      <c r="D55" s="31">
        <v>3610.0</v>
      </c>
      <c r="E55" s="31">
        <v>2310.0</v>
      </c>
      <c r="F55" s="31">
        <v>1760.0</v>
      </c>
      <c r="G55" s="31">
        <v>1470.0</v>
      </c>
      <c r="H55" s="31">
        <v>890.0</v>
      </c>
      <c r="I55" s="31">
        <v>900.0</v>
      </c>
      <c r="J55" s="31">
        <v>3810.0</v>
      </c>
      <c r="K55" s="31">
        <v>640.0</v>
      </c>
      <c r="L55" s="31">
        <v>11290.0</v>
      </c>
      <c r="M55" s="31">
        <v>700.0</v>
      </c>
      <c r="N55" s="32">
        <f t="shared" si="1"/>
        <v>32640</v>
      </c>
    </row>
    <row r="56" ht="12.75" customHeight="1">
      <c r="A56" s="30" t="s">
        <v>73</v>
      </c>
      <c r="B56" s="31">
        <v>11800.0</v>
      </c>
      <c r="C56" s="31">
        <v>8730.0</v>
      </c>
      <c r="D56" s="31">
        <v>11900.0</v>
      </c>
      <c r="E56" s="31">
        <v>11750.0</v>
      </c>
      <c r="F56" s="31">
        <v>10700.0</v>
      </c>
      <c r="G56" s="31">
        <v>11800.0</v>
      </c>
      <c r="H56" s="31">
        <v>13180.0</v>
      </c>
      <c r="I56" s="31">
        <v>29800.0</v>
      </c>
      <c r="J56" s="31">
        <v>63200.0</v>
      </c>
      <c r="K56" s="31">
        <v>102400.0</v>
      </c>
      <c r="L56" s="31">
        <v>157600.0</v>
      </c>
      <c r="M56" s="31">
        <v>18500.0</v>
      </c>
      <c r="N56" s="32">
        <f t="shared" si="1"/>
        <v>451360</v>
      </c>
    </row>
    <row r="57" ht="12.75" customHeight="1">
      <c r="A57" s="30" t="s">
        <v>114</v>
      </c>
      <c r="B57" s="31" t="s">
        <v>112</v>
      </c>
      <c r="C57" s="31" t="s">
        <v>112</v>
      </c>
      <c r="D57" s="31" t="s">
        <v>112</v>
      </c>
      <c r="E57" s="31">
        <v>500.0</v>
      </c>
      <c r="F57" s="31">
        <v>340.0</v>
      </c>
      <c r="G57" s="31" t="s">
        <v>112</v>
      </c>
      <c r="H57" s="31" t="s">
        <v>112</v>
      </c>
      <c r="I57" s="31" t="s">
        <v>112</v>
      </c>
      <c r="J57" s="31" t="s">
        <v>112</v>
      </c>
      <c r="K57" s="31" t="s">
        <v>112</v>
      </c>
      <c r="L57" s="31" t="s">
        <v>112</v>
      </c>
      <c r="M57" s="31" t="s">
        <v>112</v>
      </c>
      <c r="N57" s="32">
        <f t="shared" si="1"/>
        <v>840</v>
      </c>
    </row>
    <row r="58" ht="12.75" customHeight="1">
      <c r="A58" s="30" t="s">
        <v>74</v>
      </c>
      <c r="B58" s="31" t="s">
        <v>112</v>
      </c>
      <c r="C58" s="31" t="s">
        <v>112</v>
      </c>
      <c r="D58" s="31">
        <v>23500.0</v>
      </c>
      <c r="E58" s="31">
        <v>500.0</v>
      </c>
      <c r="F58" s="31" t="s">
        <v>112</v>
      </c>
      <c r="G58" s="31" t="s">
        <v>112</v>
      </c>
      <c r="H58" s="31" t="s">
        <v>112</v>
      </c>
      <c r="I58" s="31">
        <v>17000.0</v>
      </c>
      <c r="J58" s="31" t="s">
        <v>112</v>
      </c>
      <c r="K58" s="31" t="s">
        <v>112</v>
      </c>
      <c r="L58" s="31" t="s">
        <v>112</v>
      </c>
      <c r="M58" s="31">
        <v>16021.0</v>
      </c>
      <c r="N58" s="32">
        <f t="shared" si="1"/>
        <v>57021</v>
      </c>
    </row>
    <row r="59" ht="12.75" customHeight="1">
      <c r="A59" s="30" t="s">
        <v>75</v>
      </c>
      <c r="B59" s="31" t="s">
        <v>112</v>
      </c>
      <c r="C59" s="31" t="s">
        <v>112</v>
      </c>
      <c r="D59" s="31">
        <v>7000.0</v>
      </c>
      <c r="E59" s="31">
        <v>10000.0</v>
      </c>
      <c r="F59" s="31">
        <v>10000.0</v>
      </c>
      <c r="G59" s="31">
        <v>3000.0</v>
      </c>
      <c r="H59" s="31">
        <v>1800.0</v>
      </c>
      <c r="I59" s="31" t="s">
        <v>112</v>
      </c>
      <c r="J59" s="31" t="s">
        <v>112</v>
      </c>
      <c r="K59" s="31" t="s">
        <v>112</v>
      </c>
      <c r="L59" s="31" t="s">
        <v>112</v>
      </c>
      <c r="M59" s="31" t="s">
        <v>112</v>
      </c>
      <c r="N59" s="32">
        <f t="shared" si="1"/>
        <v>31800</v>
      </c>
    </row>
    <row r="60" ht="12.75" customHeight="1">
      <c r="A60" s="30" t="s">
        <v>76</v>
      </c>
      <c r="B60" s="31">
        <v>7400.0</v>
      </c>
      <c r="C60" s="31">
        <v>7500.0</v>
      </c>
      <c r="D60" s="31">
        <v>7600.0</v>
      </c>
      <c r="E60" s="31">
        <v>8300.0</v>
      </c>
      <c r="F60" s="31">
        <v>7130.0</v>
      </c>
      <c r="G60" s="31">
        <v>8030.0</v>
      </c>
      <c r="H60" s="31">
        <v>6900.0</v>
      </c>
      <c r="I60" s="31">
        <v>8930.0</v>
      </c>
      <c r="J60" s="31">
        <v>11100.0</v>
      </c>
      <c r="K60" s="31">
        <v>10430.0</v>
      </c>
      <c r="L60" s="31">
        <v>9600.0</v>
      </c>
      <c r="M60" s="31">
        <v>8100.0</v>
      </c>
      <c r="N60" s="32">
        <f t="shared" si="1"/>
        <v>101020</v>
      </c>
    </row>
    <row r="61" ht="12.75" customHeight="1">
      <c r="A61" s="30" t="s">
        <v>78</v>
      </c>
      <c r="B61" s="31">
        <v>62930.0</v>
      </c>
      <c r="C61" s="31">
        <v>59981.0</v>
      </c>
      <c r="D61" s="31">
        <v>39670.0</v>
      </c>
      <c r="E61" s="31">
        <v>85960.0</v>
      </c>
      <c r="F61" s="31">
        <v>131050.0</v>
      </c>
      <c r="G61" s="31">
        <v>81460.0</v>
      </c>
      <c r="H61" s="31">
        <v>158750.0</v>
      </c>
      <c r="I61" s="31">
        <v>61730.0</v>
      </c>
      <c r="J61" s="31">
        <v>43572.0</v>
      </c>
      <c r="K61" s="31">
        <v>35200.0</v>
      </c>
      <c r="L61" s="31">
        <v>98250.0</v>
      </c>
      <c r="M61" s="31">
        <v>83460.0</v>
      </c>
      <c r="N61" s="32">
        <f t="shared" si="1"/>
        <v>942013</v>
      </c>
    </row>
    <row r="62" ht="12.75" customHeight="1">
      <c r="A62" s="30" t="s">
        <v>79</v>
      </c>
      <c r="B62" s="31">
        <v>83370.0</v>
      </c>
      <c r="C62" s="31">
        <v>144240.0</v>
      </c>
      <c r="D62" s="31">
        <v>151540.0</v>
      </c>
      <c r="E62" s="31">
        <v>210500.0</v>
      </c>
      <c r="F62" s="31">
        <v>167300.0</v>
      </c>
      <c r="G62" s="31">
        <v>266380.0</v>
      </c>
      <c r="H62" s="31">
        <v>191300.0</v>
      </c>
      <c r="I62" s="31">
        <v>75050.0</v>
      </c>
      <c r="J62" s="31">
        <v>32080.0</v>
      </c>
      <c r="K62" s="31">
        <v>29200.0</v>
      </c>
      <c r="L62" s="31">
        <v>77780.0</v>
      </c>
      <c r="M62" s="31">
        <v>85840.0</v>
      </c>
      <c r="N62" s="32">
        <f t="shared" si="1"/>
        <v>1514580</v>
      </c>
    </row>
    <row r="63" ht="12.75" customHeight="1">
      <c r="A63" s="30" t="s">
        <v>81</v>
      </c>
      <c r="B63" s="31">
        <v>256915.0</v>
      </c>
      <c r="C63" s="31">
        <v>304785.0</v>
      </c>
      <c r="D63" s="31">
        <v>338150.0</v>
      </c>
      <c r="E63" s="31">
        <v>304395.0</v>
      </c>
      <c r="F63" s="31">
        <v>255420.0</v>
      </c>
      <c r="G63" s="31">
        <v>217730.0</v>
      </c>
      <c r="H63" s="31">
        <v>207750.0</v>
      </c>
      <c r="I63" s="31">
        <v>190425.0</v>
      </c>
      <c r="J63" s="31">
        <v>225200.0</v>
      </c>
      <c r="K63" s="31">
        <v>281040.0</v>
      </c>
      <c r="L63" s="31">
        <v>225990.0</v>
      </c>
      <c r="M63" s="31">
        <v>249650.0</v>
      </c>
      <c r="N63" s="32">
        <f t="shared" si="1"/>
        <v>3057450</v>
      </c>
    </row>
    <row r="64" ht="12.75" customHeight="1">
      <c r="A64" s="30" t="s">
        <v>83</v>
      </c>
      <c r="B64" s="31">
        <v>13370.0</v>
      </c>
      <c r="C64" s="31">
        <v>16740.0</v>
      </c>
      <c r="D64" s="31">
        <v>8560.0</v>
      </c>
      <c r="E64" s="31">
        <v>14575.0</v>
      </c>
      <c r="F64" s="31">
        <v>12700.0</v>
      </c>
      <c r="G64" s="31">
        <v>12625.0</v>
      </c>
      <c r="H64" s="31">
        <v>5960.0</v>
      </c>
      <c r="I64" s="31">
        <v>3160.0</v>
      </c>
      <c r="J64" s="31">
        <v>7300.0</v>
      </c>
      <c r="K64" s="31">
        <v>3760.0</v>
      </c>
      <c r="L64" s="31">
        <v>8300.0</v>
      </c>
      <c r="M64" s="31">
        <v>6810.0</v>
      </c>
      <c r="N64" s="32">
        <f t="shared" si="1"/>
        <v>113860</v>
      </c>
    </row>
    <row r="65" ht="12.75" customHeight="1">
      <c r="A65" s="30" t="s">
        <v>84</v>
      </c>
      <c r="B65" s="31">
        <v>48910.0</v>
      </c>
      <c r="C65" s="31">
        <v>434970.0</v>
      </c>
      <c r="D65" s="31">
        <v>714920.0</v>
      </c>
      <c r="E65" s="31">
        <v>198755.0</v>
      </c>
      <c r="F65" s="31">
        <v>1000.0</v>
      </c>
      <c r="G65" s="31" t="s">
        <v>112</v>
      </c>
      <c r="H65" s="31" t="s">
        <v>112</v>
      </c>
      <c r="I65" s="31" t="s">
        <v>112</v>
      </c>
      <c r="J65" s="31" t="s">
        <v>112</v>
      </c>
      <c r="K65" s="31" t="s">
        <v>112</v>
      </c>
      <c r="L65" s="31">
        <v>140.0</v>
      </c>
      <c r="M65" s="31">
        <v>4490.0</v>
      </c>
      <c r="N65" s="32">
        <f t="shared" si="1"/>
        <v>1403185</v>
      </c>
    </row>
    <row r="66" ht="12.75" customHeight="1">
      <c r="A66" s="30" t="s">
        <v>85</v>
      </c>
      <c r="B66" s="31">
        <v>18690.0</v>
      </c>
      <c r="C66" s="31">
        <v>4970.0</v>
      </c>
      <c r="D66" s="31">
        <v>200.0</v>
      </c>
      <c r="E66" s="31">
        <v>200.0</v>
      </c>
      <c r="F66" s="31" t="s">
        <v>112</v>
      </c>
      <c r="G66" s="31">
        <v>50.0</v>
      </c>
      <c r="H66" s="31">
        <v>320.0</v>
      </c>
      <c r="I66" s="31" t="s">
        <v>112</v>
      </c>
      <c r="J66" s="31">
        <v>250.0</v>
      </c>
      <c r="K66" s="31">
        <v>12930.0</v>
      </c>
      <c r="L66" s="31">
        <v>29080.0</v>
      </c>
      <c r="M66" s="31">
        <v>24340.0</v>
      </c>
      <c r="N66" s="32">
        <f t="shared" si="1"/>
        <v>91030</v>
      </c>
    </row>
    <row r="67" ht="12.75" customHeight="1">
      <c r="A67" s="30" t="s">
        <v>86</v>
      </c>
      <c r="B67" s="31">
        <v>52280.0</v>
      </c>
      <c r="C67" s="31">
        <v>1740.0</v>
      </c>
      <c r="D67" s="31" t="s">
        <v>112</v>
      </c>
      <c r="E67" s="31" t="s">
        <v>112</v>
      </c>
      <c r="F67" s="31" t="s">
        <v>112</v>
      </c>
      <c r="G67" s="31">
        <v>6160.0</v>
      </c>
      <c r="H67" s="31">
        <v>526880.0</v>
      </c>
      <c r="I67" s="31">
        <v>1635525.0</v>
      </c>
      <c r="J67" s="31">
        <v>1837650.0</v>
      </c>
      <c r="K67" s="31">
        <v>766810.0</v>
      </c>
      <c r="L67" s="31">
        <v>510880.0</v>
      </c>
      <c r="M67" s="31">
        <v>330850.0</v>
      </c>
      <c r="N67" s="32">
        <f t="shared" si="1"/>
        <v>5668775</v>
      </c>
    </row>
    <row r="68" ht="12.75" customHeight="1">
      <c r="A68" s="30" t="s">
        <v>87</v>
      </c>
      <c r="B68" s="31">
        <v>1379350.0</v>
      </c>
      <c r="C68" s="31">
        <v>411100.0</v>
      </c>
      <c r="D68" s="31">
        <v>51000.0</v>
      </c>
      <c r="E68" s="31">
        <v>36320.0</v>
      </c>
      <c r="F68" s="31">
        <v>51900.0</v>
      </c>
      <c r="G68" s="31">
        <v>15930.0</v>
      </c>
      <c r="H68" s="31">
        <v>11620.0</v>
      </c>
      <c r="I68" s="31">
        <v>3960.0</v>
      </c>
      <c r="J68" s="31">
        <v>10600.0</v>
      </c>
      <c r="K68" s="31">
        <v>8600.0</v>
      </c>
      <c r="L68" s="31">
        <v>49850.0</v>
      </c>
      <c r="M68" s="31">
        <v>337550.0</v>
      </c>
      <c r="N68" s="32">
        <f t="shared" si="1"/>
        <v>2367780</v>
      </c>
    </row>
    <row r="69" ht="12.75" customHeight="1">
      <c r="A69" s="30" t="s">
        <v>88</v>
      </c>
      <c r="B69" s="31">
        <v>5090.0</v>
      </c>
      <c r="C69" s="31">
        <v>5300.0</v>
      </c>
      <c r="D69" s="31">
        <v>1670.0</v>
      </c>
      <c r="E69" s="31">
        <v>7450.0</v>
      </c>
      <c r="F69" s="31">
        <v>13130.0</v>
      </c>
      <c r="G69" s="31">
        <v>26170.0</v>
      </c>
      <c r="H69" s="31">
        <v>233090.0</v>
      </c>
      <c r="I69" s="31">
        <v>1690.0</v>
      </c>
      <c r="J69" s="31">
        <v>400.0</v>
      </c>
      <c r="K69" s="31">
        <v>635.0</v>
      </c>
      <c r="L69" s="31">
        <v>1000.0</v>
      </c>
      <c r="M69" s="31">
        <v>200.0</v>
      </c>
      <c r="N69" s="32">
        <f t="shared" si="1"/>
        <v>295825</v>
      </c>
    </row>
    <row r="70" ht="12.75" customHeight="1">
      <c r="A70" s="30" t="s">
        <v>115</v>
      </c>
      <c r="B70" s="31" t="s">
        <v>112</v>
      </c>
      <c r="C70" s="31" t="s">
        <v>112</v>
      </c>
      <c r="D70" s="31" t="s">
        <v>112</v>
      </c>
      <c r="E70" s="31" t="s">
        <v>112</v>
      </c>
      <c r="F70" s="31" t="s">
        <v>112</v>
      </c>
      <c r="G70" s="31" t="s">
        <v>112</v>
      </c>
      <c r="H70" s="31">
        <v>11000.0</v>
      </c>
      <c r="I70" s="31" t="s">
        <v>112</v>
      </c>
      <c r="J70" s="31">
        <v>1500.0</v>
      </c>
      <c r="K70" s="31">
        <v>41050.0</v>
      </c>
      <c r="L70" s="31">
        <v>76510.0</v>
      </c>
      <c r="M70" s="31">
        <v>9350.0</v>
      </c>
      <c r="N70" s="32">
        <f t="shared" si="1"/>
        <v>139410</v>
      </c>
    </row>
    <row r="71" ht="12.75" customHeight="1">
      <c r="A71" s="30" t="s">
        <v>89</v>
      </c>
      <c r="B71" s="31">
        <v>7980.0</v>
      </c>
      <c r="C71" s="31">
        <v>8270.0</v>
      </c>
      <c r="D71" s="31">
        <v>6890.0</v>
      </c>
      <c r="E71" s="31">
        <v>8980.0</v>
      </c>
      <c r="F71" s="31">
        <v>8780.0</v>
      </c>
      <c r="G71" s="31">
        <v>5305.0</v>
      </c>
      <c r="H71" s="31">
        <v>3810.0</v>
      </c>
      <c r="I71" s="31">
        <v>2920.0</v>
      </c>
      <c r="J71" s="31">
        <v>2730.0</v>
      </c>
      <c r="K71" s="31">
        <v>2330.0</v>
      </c>
      <c r="L71" s="31">
        <v>4310.0</v>
      </c>
      <c r="M71" s="31">
        <v>30890.0</v>
      </c>
      <c r="N71" s="32">
        <f t="shared" si="1"/>
        <v>93195</v>
      </c>
    </row>
    <row r="72" ht="12.75" customHeight="1">
      <c r="A72" s="30" t="s">
        <v>91</v>
      </c>
      <c r="B72" s="31">
        <v>738695.0</v>
      </c>
      <c r="C72" s="31">
        <v>879915.0</v>
      </c>
      <c r="D72" s="31">
        <v>772140.0</v>
      </c>
      <c r="E72" s="31">
        <v>721990.0</v>
      </c>
      <c r="F72" s="31">
        <v>831919.0</v>
      </c>
      <c r="G72" s="31">
        <v>763735.0</v>
      </c>
      <c r="H72" s="31">
        <v>423815.0</v>
      </c>
      <c r="I72" s="31">
        <v>170405.0</v>
      </c>
      <c r="J72" s="31">
        <v>107600.0</v>
      </c>
      <c r="K72" s="31">
        <v>158000.0</v>
      </c>
      <c r="L72" s="31">
        <v>290990.0</v>
      </c>
      <c r="M72" s="31">
        <v>430888.7</v>
      </c>
      <c r="N72" s="32">
        <f t="shared" si="1"/>
        <v>6290092.7</v>
      </c>
    </row>
    <row r="73" ht="12.75" customHeight="1">
      <c r="A73" s="30" t="s">
        <v>92</v>
      </c>
      <c r="B73" s="31">
        <v>268160.0</v>
      </c>
      <c r="C73" s="31">
        <v>236035.0</v>
      </c>
      <c r="D73" s="31">
        <v>245855.0</v>
      </c>
      <c r="E73" s="31">
        <v>181000.0</v>
      </c>
      <c r="F73" s="31">
        <v>6200.0</v>
      </c>
      <c r="G73" s="31" t="s">
        <v>112</v>
      </c>
      <c r="H73" s="31" t="s">
        <v>112</v>
      </c>
      <c r="I73" s="31" t="s">
        <v>112</v>
      </c>
      <c r="J73" s="31">
        <v>1925.0</v>
      </c>
      <c r="K73" s="31">
        <v>16000.0</v>
      </c>
      <c r="L73" s="31">
        <v>33750.0</v>
      </c>
      <c r="M73" s="31">
        <v>109695.0</v>
      </c>
      <c r="N73" s="32">
        <f t="shared" si="1"/>
        <v>1098620</v>
      </c>
    </row>
    <row r="74" ht="12.75" customHeight="1">
      <c r="A74" s="30" t="s">
        <v>93</v>
      </c>
      <c r="B74" s="31" t="s">
        <v>112</v>
      </c>
      <c r="C74" s="31" t="s">
        <v>112</v>
      </c>
      <c r="D74" s="31" t="s">
        <v>112</v>
      </c>
      <c r="E74" s="31" t="s">
        <v>112</v>
      </c>
      <c r="F74" s="31" t="s">
        <v>112</v>
      </c>
      <c r="G74" s="31" t="s">
        <v>112</v>
      </c>
      <c r="H74" s="31">
        <v>430.0</v>
      </c>
      <c r="I74" s="31">
        <v>3000.0</v>
      </c>
      <c r="J74" s="31">
        <v>9600.0</v>
      </c>
      <c r="K74" s="31">
        <v>14960.0</v>
      </c>
      <c r="L74" s="31">
        <v>12640.0</v>
      </c>
      <c r="M74" s="31">
        <v>55000.0</v>
      </c>
      <c r="N74" s="32">
        <f t="shared" si="1"/>
        <v>95630</v>
      </c>
    </row>
    <row r="75" ht="12.75" customHeight="1">
      <c r="A75" s="30" t="s">
        <v>94</v>
      </c>
      <c r="B75" s="31">
        <v>3100.0</v>
      </c>
      <c r="C75" s="31">
        <v>390.0</v>
      </c>
      <c r="D75" s="31">
        <v>600.0</v>
      </c>
      <c r="E75" s="31">
        <v>13450.0</v>
      </c>
      <c r="F75" s="31">
        <v>4910.0</v>
      </c>
      <c r="G75" s="31">
        <v>1260.0</v>
      </c>
      <c r="H75" s="31">
        <v>2240.0</v>
      </c>
      <c r="I75" s="31">
        <v>850.0</v>
      </c>
      <c r="J75" s="31">
        <v>200.0</v>
      </c>
      <c r="K75" s="31">
        <v>2600.0</v>
      </c>
      <c r="L75" s="31">
        <v>650.0</v>
      </c>
      <c r="M75" s="31">
        <v>550.0</v>
      </c>
      <c r="N75" s="32">
        <f t="shared" si="1"/>
        <v>30800</v>
      </c>
    </row>
    <row r="76" ht="12.75" customHeight="1">
      <c r="A76" s="30" t="s">
        <v>95</v>
      </c>
      <c r="B76" s="31">
        <v>187440.0</v>
      </c>
      <c r="C76" s="31">
        <v>65080.0</v>
      </c>
      <c r="D76" s="31">
        <v>23610.0</v>
      </c>
      <c r="E76" s="31">
        <v>79720.0</v>
      </c>
      <c r="F76" s="31">
        <v>24810.0</v>
      </c>
      <c r="G76" s="31">
        <v>14610.0</v>
      </c>
      <c r="H76" s="31">
        <v>23150.0</v>
      </c>
      <c r="I76" s="31">
        <v>7770.0</v>
      </c>
      <c r="J76" s="31">
        <v>5500.0</v>
      </c>
      <c r="K76" s="31">
        <v>14010.0</v>
      </c>
      <c r="L76" s="31">
        <v>66280.0</v>
      </c>
      <c r="M76" s="31">
        <v>140050.0</v>
      </c>
      <c r="N76" s="32">
        <f t="shared" si="1"/>
        <v>652030</v>
      </c>
    </row>
    <row r="77" ht="12.75" customHeight="1">
      <c r="A77" s="30" t="s">
        <v>96</v>
      </c>
      <c r="B77" s="31" t="s">
        <v>112</v>
      </c>
      <c r="C77" s="31">
        <v>800.0</v>
      </c>
      <c r="D77" s="31" t="s">
        <v>112</v>
      </c>
      <c r="E77" s="31">
        <v>3400.0</v>
      </c>
      <c r="F77" s="31">
        <v>23500.0</v>
      </c>
      <c r="G77" s="31">
        <v>21850.0</v>
      </c>
      <c r="H77" s="31">
        <v>2050.0</v>
      </c>
      <c r="I77" s="31" t="s">
        <v>112</v>
      </c>
      <c r="J77" s="31" t="s">
        <v>112</v>
      </c>
      <c r="K77" s="31" t="s">
        <v>112</v>
      </c>
      <c r="L77" s="31" t="s">
        <v>112</v>
      </c>
      <c r="M77" s="31" t="s">
        <v>112</v>
      </c>
      <c r="N77" s="32">
        <f t="shared" si="1"/>
        <v>51600</v>
      </c>
    </row>
    <row r="78" ht="12.75" customHeight="1">
      <c r="A78" s="30" t="s">
        <v>97</v>
      </c>
      <c r="B78" s="31" t="s">
        <v>112</v>
      </c>
      <c r="C78" s="31" t="s">
        <v>112</v>
      </c>
      <c r="D78" s="31" t="s">
        <v>112</v>
      </c>
      <c r="E78" s="31" t="s">
        <v>112</v>
      </c>
      <c r="F78" s="31">
        <v>2450.0</v>
      </c>
      <c r="G78" s="31" t="s">
        <v>112</v>
      </c>
      <c r="H78" s="31">
        <v>2260.0</v>
      </c>
      <c r="I78" s="31">
        <v>4540.0</v>
      </c>
      <c r="J78" s="31">
        <v>1350.0</v>
      </c>
      <c r="K78" s="31" t="s">
        <v>112</v>
      </c>
      <c r="L78" s="31">
        <v>5000.0</v>
      </c>
      <c r="M78" s="31" t="s">
        <v>112</v>
      </c>
      <c r="N78" s="32">
        <f t="shared" si="1"/>
        <v>15600</v>
      </c>
    </row>
    <row r="79" ht="12.75" customHeight="1">
      <c r="A79" s="30" t="s">
        <v>98</v>
      </c>
      <c r="B79" s="31">
        <v>500.0</v>
      </c>
      <c r="C79" s="31">
        <v>56540.0</v>
      </c>
      <c r="D79" s="31">
        <v>14912.0</v>
      </c>
      <c r="E79" s="31" t="s">
        <v>112</v>
      </c>
      <c r="F79" s="31" t="s">
        <v>112</v>
      </c>
      <c r="G79" s="31" t="s">
        <v>112</v>
      </c>
      <c r="H79" s="31" t="s">
        <v>112</v>
      </c>
      <c r="I79" s="31" t="s">
        <v>112</v>
      </c>
      <c r="J79" s="31" t="s">
        <v>112</v>
      </c>
      <c r="K79" s="31" t="s">
        <v>112</v>
      </c>
      <c r="L79" s="31" t="s">
        <v>112</v>
      </c>
      <c r="M79" s="31" t="s">
        <v>112</v>
      </c>
      <c r="N79" s="32">
        <f t="shared" si="1"/>
        <v>71952</v>
      </c>
    </row>
    <row r="80" ht="12.75" customHeight="1">
      <c r="A80" s="30" t="s">
        <v>116</v>
      </c>
      <c r="B80" s="31">
        <v>300.0</v>
      </c>
      <c r="C80" s="31" t="s">
        <v>112</v>
      </c>
      <c r="D80" s="31" t="s">
        <v>112</v>
      </c>
      <c r="E80" s="31" t="s">
        <v>112</v>
      </c>
      <c r="F80" s="31" t="s">
        <v>112</v>
      </c>
      <c r="G80" s="31" t="s">
        <v>112</v>
      </c>
      <c r="H80" s="31" t="s">
        <v>112</v>
      </c>
      <c r="I80" s="31" t="s">
        <v>112</v>
      </c>
      <c r="J80" s="31">
        <v>100.0</v>
      </c>
      <c r="K80" s="31">
        <v>1200.0</v>
      </c>
      <c r="L80" s="31">
        <v>100.0</v>
      </c>
      <c r="M80" s="31" t="s">
        <v>112</v>
      </c>
      <c r="N80" s="32">
        <f t="shared" si="1"/>
        <v>1700</v>
      </c>
    </row>
    <row r="81" ht="12.75" customHeight="1">
      <c r="A81" s="30" t="s">
        <v>99</v>
      </c>
      <c r="B81" s="31">
        <v>121630.0</v>
      </c>
      <c r="C81" s="31">
        <v>175150.0</v>
      </c>
      <c r="D81" s="31">
        <v>106890.0</v>
      </c>
      <c r="E81" s="31">
        <v>188640.0</v>
      </c>
      <c r="F81" s="31">
        <v>184430.0</v>
      </c>
      <c r="G81" s="31">
        <v>316250.0</v>
      </c>
      <c r="H81" s="31">
        <v>355170.0</v>
      </c>
      <c r="I81" s="31">
        <v>322470.0</v>
      </c>
      <c r="J81" s="31">
        <v>264770.0</v>
      </c>
      <c r="K81" s="31">
        <v>255030.0</v>
      </c>
      <c r="L81" s="31">
        <v>198630.0</v>
      </c>
      <c r="M81" s="31">
        <v>225690.0</v>
      </c>
      <c r="N81" s="32">
        <f t="shared" si="1"/>
        <v>2714750</v>
      </c>
    </row>
    <row r="82" ht="12.75" customHeight="1">
      <c r="A82" s="30" t="s">
        <v>100</v>
      </c>
      <c r="B82" s="31">
        <v>1880.0</v>
      </c>
      <c r="C82" s="31">
        <v>400.0</v>
      </c>
      <c r="D82" s="31">
        <v>800.0</v>
      </c>
      <c r="E82" s="31" t="s">
        <v>112</v>
      </c>
      <c r="F82" s="31" t="s">
        <v>112</v>
      </c>
      <c r="G82" s="31" t="s">
        <v>112</v>
      </c>
      <c r="H82" s="31">
        <v>1000.0</v>
      </c>
      <c r="I82" s="31" t="s">
        <v>112</v>
      </c>
      <c r="J82" s="31">
        <v>7160.0</v>
      </c>
      <c r="K82" s="31">
        <v>53620.0</v>
      </c>
      <c r="L82" s="31">
        <v>1000.0</v>
      </c>
      <c r="M82" s="31">
        <v>3200.0</v>
      </c>
      <c r="N82" s="32">
        <f t="shared" si="1"/>
        <v>69060</v>
      </c>
    </row>
    <row r="83" ht="12.75" customHeight="1">
      <c r="A83" s="30" t="s">
        <v>101</v>
      </c>
      <c r="B83" s="31">
        <v>434490.0</v>
      </c>
      <c r="C83" s="31">
        <v>472710.0</v>
      </c>
      <c r="D83" s="31">
        <v>202010.0</v>
      </c>
      <c r="E83" s="31">
        <v>84660.0</v>
      </c>
      <c r="F83" s="31">
        <v>117990.0</v>
      </c>
      <c r="G83" s="31">
        <v>173050.0</v>
      </c>
      <c r="H83" s="31">
        <v>249760.0</v>
      </c>
      <c r="I83" s="31">
        <v>290490.0</v>
      </c>
      <c r="J83" s="31">
        <v>224010.0</v>
      </c>
      <c r="K83" s="31">
        <v>338900.0</v>
      </c>
      <c r="L83" s="31">
        <v>708990.0</v>
      </c>
      <c r="M83" s="31">
        <v>753460.0</v>
      </c>
      <c r="N83" s="32">
        <f t="shared" si="1"/>
        <v>4050520</v>
      </c>
    </row>
    <row r="84" ht="12.75" customHeight="1">
      <c r="A84" s="30" t="s">
        <v>102</v>
      </c>
      <c r="B84" s="31">
        <v>122925.0</v>
      </c>
      <c r="C84" s="31">
        <v>312350.0</v>
      </c>
      <c r="D84" s="31">
        <v>132925.0</v>
      </c>
      <c r="E84" s="31">
        <v>31375.0</v>
      </c>
      <c r="F84" s="31">
        <v>65625.0</v>
      </c>
      <c r="G84" s="31">
        <v>25250.0</v>
      </c>
      <c r="H84" s="31">
        <v>80550.0</v>
      </c>
      <c r="I84" s="31">
        <v>206425.0</v>
      </c>
      <c r="J84" s="31">
        <v>226925.0</v>
      </c>
      <c r="K84" s="31">
        <v>143025.0</v>
      </c>
      <c r="L84" s="31">
        <v>213870.0</v>
      </c>
      <c r="M84" s="31">
        <v>168575.0</v>
      </c>
      <c r="N84" s="32">
        <f t="shared" si="1"/>
        <v>1729820</v>
      </c>
    </row>
    <row r="85" ht="12.75" customHeight="1">
      <c r="A85" s="30" t="s">
        <v>103</v>
      </c>
      <c r="B85" s="31">
        <v>9050.0</v>
      </c>
      <c r="C85" s="31">
        <v>18900.0</v>
      </c>
      <c r="D85" s="31">
        <v>16800.0</v>
      </c>
      <c r="E85" s="31">
        <v>11200.0</v>
      </c>
      <c r="F85" s="31">
        <v>12100.0</v>
      </c>
      <c r="G85" s="31">
        <v>6200.0</v>
      </c>
      <c r="H85" s="31">
        <v>6050.0</v>
      </c>
      <c r="I85" s="31">
        <v>11400.0</v>
      </c>
      <c r="J85" s="31">
        <v>49430.0</v>
      </c>
      <c r="K85" s="31">
        <v>55800.0</v>
      </c>
      <c r="L85" s="31">
        <v>66906.0</v>
      </c>
      <c r="M85" s="31">
        <v>31600.0</v>
      </c>
      <c r="N85" s="32">
        <f t="shared" si="1"/>
        <v>295436</v>
      </c>
    </row>
    <row r="86" ht="12.75" customHeight="1">
      <c r="A86" s="30" t="s">
        <v>104</v>
      </c>
      <c r="B86" s="31">
        <v>32750.0</v>
      </c>
      <c r="C86" s="31">
        <v>52430.0</v>
      </c>
      <c r="D86" s="31">
        <v>53800.0</v>
      </c>
      <c r="E86" s="31">
        <v>31410.0</v>
      </c>
      <c r="F86" s="31">
        <v>23250.0</v>
      </c>
      <c r="G86" s="31">
        <v>19920.0</v>
      </c>
      <c r="H86" s="31">
        <v>29990.0</v>
      </c>
      <c r="I86" s="31">
        <v>48300.0</v>
      </c>
      <c r="J86" s="31">
        <v>49820.0</v>
      </c>
      <c r="K86" s="31">
        <v>26400.0</v>
      </c>
      <c r="L86" s="31">
        <v>16100.0</v>
      </c>
      <c r="M86" s="31">
        <v>23630.0</v>
      </c>
      <c r="N86" s="32">
        <f t="shared" si="1"/>
        <v>407800</v>
      </c>
    </row>
    <row r="87" ht="12.75" customHeight="1">
      <c r="A87" s="30" t="s">
        <v>105</v>
      </c>
      <c r="B87" s="31">
        <v>59800.0</v>
      </c>
      <c r="C87" s="31">
        <v>59100.0</v>
      </c>
      <c r="D87" s="31">
        <v>86000.0</v>
      </c>
      <c r="E87" s="31">
        <v>54200.0</v>
      </c>
      <c r="F87" s="31">
        <v>59000.0</v>
      </c>
      <c r="G87" s="31">
        <v>70000.0</v>
      </c>
      <c r="H87" s="31">
        <v>67000.0</v>
      </c>
      <c r="I87" s="31">
        <v>62000.0</v>
      </c>
      <c r="J87" s="31">
        <v>35400.0</v>
      </c>
      <c r="K87" s="31">
        <v>28000.0</v>
      </c>
      <c r="L87" s="31">
        <v>87240.0</v>
      </c>
      <c r="M87" s="31">
        <v>10960.0</v>
      </c>
      <c r="N87" s="32">
        <f t="shared" si="1"/>
        <v>678700</v>
      </c>
    </row>
    <row r="88" ht="12.75" customHeight="1">
      <c r="A88" s="30" t="s">
        <v>106</v>
      </c>
      <c r="B88" s="31">
        <v>78900.0</v>
      </c>
      <c r="C88" s="31">
        <v>34100.0</v>
      </c>
      <c r="D88" s="31">
        <v>37150.0</v>
      </c>
      <c r="E88" s="31">
        <v>10200.0</v>
      </c>
      <c r="F88" s="31">
        <v>76700.0</v>
      </c>
      <c r="G88" s="31">
        <v>2350.0</v>
      </c>
      <c r="H88" s="31" t="s">
        <v>112</v>
      </c>
      <c r="I88" s="31">
        <v>18450.0</v>
      </c>
      <c r="J88" s="31">
        <v>14300.0</v>
      </c>
      <c r="K88" s="31">
        <v>2500.0</v>
      </c>
      <c r="L88" s="31">
        <v>32500.0</v>
      </c>
      <c r="M88" s="31">
        <v>54600.0</v>
      </c>
      <c r="N88" s="32">
        <f t="shared" si="1"/>
        <v>361750</v>
      </c>
    </row>
    <row r="89" ht="12.75" customHeight="1">
      <c r="A89" s="30" t="s">
        <v>107</v>
      </c>
      <c r="B89" s="31">
        <v>2200.0</v>
      </c>
      <c r="C89" s="31" t="s">
        <v>112</v>
      </c>
      <c r="D89" s="31" t="s">
        <v>112</v>
      </c>
      <c r="E89" s="31" t="s">
        <v>112</v>
      </c>
      <c r="F89" s="31" t="s">
        <v>112</v>
      </c>
      <c r="G89" s="31" t="s">
        <v>112</v>
      </c>
      <c r="H89" s="31" t="s">
        <v>112</v>
      </c>
      <c r="I89" s="31" t="s">
        <v>112</v>
      </c>
      <c r="J89" s="31">
        <v>1000.0</v>
      </c>
      <c r="K89" s="31" t="s">
        <v>112</v>
      </c>
      <c r="L89" s="31" t="s">
        <v>112</v>
      </c>
      <c r="M89" s="31" t="s">
        <v>112</v>
      </c>
      <c r="N89" s="32">
        <f t="shared" si="1"/>
        <v>3200</v>
      </c>
    </row>
    <row r="90" ht="12.75" customHeight="1">
      <c r="A90" s="30" t="s">
        <v>108</v>
      </c>
      <c r="B90" s="31">
        <v>1120.0</v>
      </c>
      <c r="C90" s="31">
        <v>860.0</v>
      </c>
      <c r="D90" s="31">
        <v>1110.0</v>
      </c>
      <c r="E90" s="31">
        <v>950.0</v>
      </c>
      <c r="F90" s="31">
        <v>7280.0</v>
      </c>
      <c r="G90" s="31">
        <v>1040.0</v>
      </c>
      <c r="H90" s="31">
        <v>1290.0</v>
      </c>
      <c r="I90" s="31">
        <v>1390.0</v>
      </c>
      <c r="J90" s="31">
        <v>6780.0</v>
      </c>
      <c r="K90" s="31">
        <v>4610.0</v>
      </c>
      <c r="L90" s="31">
        <v>2740.0</v>
      </c>
      <c r="M90" s="31">
        <v>960.0</v>
      </c>
      <c r="N90" s="32">
        <f t="shared" si="1"/>
        <v>30130</v>
      </c>
    </row>
    <row r="91" ht="12.75" customHeight="1">
      <c r="A91" s="33" t="s">
        <v>109</v>
      </c>
      <c r="B91" s="34">
        <v>327000.0</v>
      </c>
      <c r="C91" s="34">
        <v>296000.0</v>
      </c>
      <c r="D91" s="34">
        <v>345000.0</v>
      </c>
      <c r="E91" s="34">
        <v>290000.0</v>
      </c>
      <c r="F91" s="34">
        <v>321000.0</v>
      </c>
      <c r="G91" s="34">
        <v>302000.0</v>
      </c>
      <c r="H91" s="34">
        <v>324000.0</v>
      </c>
      <c r="I91" s="34">
        <v>294000.0</v>
      </c>
      <c r="J91" s="34">
        <v>294000.0</v>
      </c>
      <c r="K91" s="34">
        <v>261000.0</v>
      </c>
      <c r="L91" s="34">
        <v>294000.0</v>
      </c>
      <c r="M91" s="34">
        <v>284000.0</v>
      </c>
      <c r="N91" s="32">
        <f t="shared" si="1"/>
        <v>3632000</v>
      </c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2.75" customHeight="1">
      <c r="A92" s="30" t="s">
        <v>117</v>
      </c>
      <c r="B92" s="31">
        <v>48010.0</v>
      </c>
      <c r="C92" s="31">
        <v>42950.0</v>
      </c>
      <c r="D92" s="31">
        <v>31750.0</v>
      </c>
      <c r="E92" s="31">
        <v>54275.0</v>
      </c>
      <c r="F92" s="31">
        <v>40300.0</v>
      </c>
      <c r="G92" s="31">
        <v>78050.0</v>
      </c>
      <c r="H92" s="31">
        <v>141500.0</v>
      </c>
      <c r="I92" s="31">
        <v>95650.0</v>
      </c>
      <c r="J92" s="31">
        <v>12650.0</v>
      </c>
      <c r="K92" s="31">
        <v>700.0</v>
      </c>
      <c r="L92" s="31">
        <v>500.0</v>
      </c>
      <c r="M92" s="31">
        <v>850.0</v>
      </c>
      <c r="N92" s="32">
        <f t="shared" si="1"/>
        <v>547185</v>
      </c>
    </row>
    <row r="93" ht="12.75" customHeight="1">
      <c r="A93" s="36"/>
      <c r="B93" s="37">
        <f t="shared" ref="B93:N93" si="2">SUM(B2:B92)</f>
        <v>20106612</v>
      </c>
      <c r="C93" s="37">
        <f t="shared" si="2"/>
        <v>21547204</v>
      </c>
      <c r="D93" s="37">
        <f t="shared" si="2"/>
        <v>19340167</v>
      </c>
      <c r="E93" s="37">
        <f t="shared" si="2"/>
        <v>21663146</v>
      </c>
      <c r="F93" s="37">
        <f t="shared" si="2"/>
        <v>20004849</v>
      </c>
      <c r="G93" s="37">
        <f t="shared" si="2"/>
        <v>19562910</v>
      </c>
      <c r="H93" s="37">
        <f t="shared" si="2"/>
        <v>19166802</v>
      </c>
      <c r="I93" s="37">
        <f t="shared" si="2"/>
        <v>20497243</v>
      </c>
      <c r="J93" s="37">
        <f t="shared" si="2"/>
        <v>25177094</v>
      </c>
      <c r="K93" s="37">
        <f t="shared" si="2"/>
        <v>24260759</v>
      </c>
      <c r="L93" s="37">
        <f t="shared" si="2"/>
        <v>23550666</v>
      </c>
      <c r="M93" s="38">
        <f t="shared" si="2"/>
        <v>21395000.7</v>
      </c>
      <c r="N93" s="38">
        <f t="shared" si="2"/>
        <v>256272452.7</v>
      </c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>
      <c r="C104" s="39"/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88"/>
    <col customWidth="1" min="3" max="3" width="11.25"/>
    <col customWidth="1" min="4" max="4" width="11.75"/>
    <col customWidth="1" min="5" max="5" width="10.13"/>
    <col customWidth="1" min="6" max="6" width="10.25"/>
    <col customWidth="1" min="7" max="7" width="10.13"/>
    <col customWidth="1" min="8" max="8" width="12.13"/>
    <col customWidth="1" min="9" max="9" width="11.25"/>
    <col customWidth="1" min="10" max="10" width="10.13"/>
    <col customWidth="1" min="11" max="11" width="11.75"/>
    <col customWidth="1" min="12" max="12" width="11.0"/>
    <col customWidth="1" min="13" max="13" width="10.38"/>
    <col customWidth="1" min="14" max="14" width="10.25"/>
    <col customWidth="1" min="15" max="15" width="11.13"/>
    <col customWidth="1" min="16" max="16" width="15.25"/>
    <col customWidth="1" min="17" max="17" width="8.88"/>
    <col customWidth="1" min="18" max="18" width="12.13"/>
    <col customWidth="1" min="19" max="19" width="10.13"/>
    <col customWidth="1" min="20" max="20" width="10.25"/>
    <col customWidth="1" min="21" max="21" width="12.88"/>
    <col customWidth="1" min="22" max="22" width="7.38"/>
    <col customWidth="1" min="23" max="25" width="8.63"/>
  </cols>
  <sheetData>
    <row r="1" ht="12.75" customHeight="1">
      <c r="A1" s="40" t="s">
        <v>118</v>
      </c>
      <c r="B1" s="41" t="s">
        <v>119</v>
      </c>
      <c r="C1" s="41" t="s">
        <v>120</v>
      </c>
      <c r="D1" s="41" t="s">
        <v>121</v>
      </c>
      <c r="E1" s="41" t="s">
        <v>122</v>
      </c>
      <c r="F1" s="41" t="s">
        <v>123</v>
      </c>
      <c r="G1" s="41" t="s">
        <v>124</v>
      </c>
      <c r="H1" s="42" t="s">
        <v>125</v>
      </c>
      <c r="I1" s="42" t="s">
        <v>126</v>
      </c>
      <c r="J1" s="42" t="s">
        <v>127</v>
      </c>
      <c r="K1" s="42" t="s">
        <v>128</v>
      </c>
      <c r="L1" s="42" t="s">
        <v>129</v>
      </c>
      <c r="M1" s="42" t="s">
        <v>130</v>
      </c>
      <c r="N1" s="42" t="s">
        <v>131</v>
      </c>
      <c r="O1" s="42" t="s">
        <v>132</v>
      </c>
      <c r="P1" s="42" t="s">
        <v>133</v>
      </c>
      <c r="Q1" s="42" t="s">
        <v>134</v>
      </c>
      <c r="R1" s="42" t="s">
        <v>135</v>
      </c>
      <c r="S1" s="42" t="s">
        <v>136</v>
      </c>
      <c r="T1" s="42" t="s">
        <v>117</v>
      </c>
      <c r="U1" s="42" t="s">
        <v>111</v>
      </c>
      <c r="V1" s="42" t="s">
        <v>137</v>
      </c>
      <c r="W1" s="2"/>
      <c r="X1" s="2"/>
      <c r="Y1" s="2"/>
    </row>
    <row r="2" ht="12.75" customHeight="1">
      <c r="A2" s="30" t="s">
        <v>18</v>
      </c>
      <c r="B2" s="43">
        <v>4000.0</v>
      </c>
      <c r="C2" s="43">
        <v>164550.0</v>
      </c>
      <c r="D2" s="44">
        <v>277505.0</v>
      </c>
      <c r="E2" s="44"/>
      <c r="F2" s="44">
        <v>18000.0</v>
      </c>
      <c r="G2" s="44">
        <v>100800.0</v>
      </c>
      <c r="H2" s="44">
        <v>6500.0</v>
      </c>
      <c r="I2" s="44">
        <v>160150.0</v>
      </c>
      <c r="J2" s="44">
        <v>3750.0</v>
      </c>
      <c r="K2" s="44">
        <v>29625.0</v>
      </c>
      <c r="L2" s="44"/>
      <c r="M2" s="44">
        <v>11250.0</v>
      </c>
      <c r="N2" s="44">
        <v>2660.0</v>
      </c>
      <c r="O2" s="44">
        <v>901000.0</v>
      </c>
      <c r="P2" s="44"/>
      <c r="Q2" s="44"/>
      <c r="R2" s="44">
        <v>3190056.0</v>
      </c>
      <c r="S2" s="44"/>
      <c r="T2" s="45">
        <v>338290.0</v>
      </c>
      <c r="U2" s="46">
        <v>5208136.0</v>
      </c>
      <c r="V2" s="47">
        <f t="shared" ref="V2:V92" si="1">U2/$U$93*100</f>
        <v>2.032265247</v>
      </c>
    </row>
    <row r="3" ht="12.75" customHeight="1">
      <c r="A3" s="30" t="s">
        <v>20</v>
      </c>
      <c r="B3" s="43">
        <v>186065.0</v>
      </c>
      <c r="C3" s="43">
        <v>1581460.0</v>
      </c>
      <c r="D3" s="44">
        <v>4067790.0</v>
      </c>
      <c r="E3" s="44">
        <v>8675.0</v>
      </c>
      <c r="F3" s="44">
        <v>148640.0</v>
      </c>
      <c r="G3" s="44">
        <v>127875.0</v>
      </c>
      <c r="H3" s="44">
        <v>1498565.0</v>
      </c>
      <c r="I3" s="44">
        <v>4658380.0</v>
      </c>
      <c r="J3" s="44">
        <v>227375.0</v>
      </c>
      <c r="K3" s="44">
        <v>154031.0</v>
      </c>
      <c r="L3" s="44">
        <v>7750.0</v>
      </c>
      <c r="M3" s="44">
        <v>170825.0</v>
      </c>
      <c r="N3" s="44">
        <v>269900.0</v>
      </c>
      <c r="O3" s="44">
        <v>4987391.0</v>
      </c>
      <c r="P3" s="44">
        <v>60775.0</v>
      </c>
      <c r="Q3" s="44">
        <v>27350.0</v>
      </c>
      <c r="R3" s="44">
        <v>6468880.0</v>
      </c>
      <c r="S3" s="44"/>
      <c r="T3" s="45">
        <v>450965.0</v>
      </c>
      <c r="U3" s="46">
        <v>2.5102692E7</v>
      </c>
      <c r="V3" s="47">
        <f t="shared" si="1"/>
        <v>9.795314208</v>
      </c>
    </row>
    <row r="4" ht="12.75" customHeight="1">
      <c r="A4" s="30" t="s">
        <v>21</v>
      </c>
      <c r="B4" s="43">
        <v>275990.0</v>
      </c>
      <c r="C4" s="43">
        <v>88410.0</v>
      </c>
      <c r="D4" s="44">
        <v>197340.0</v>
      </c>
      <c r="E4" s="44">
        <v>1608970.0</v>
      </c>
      <c r="F4" s="44">
        <v>7650.0</v>
      </c>
      <c r="G4" s="44">
        <v>31000.0</v>
      </c>
      <c r="H4" s="44">
        <v>2554366.0</v>
      </c>
      <c r="I4" s="44">
        <v>9011958.0</v>
      </c>
      <c r="J4" s="44">
        <v>12700.0</v>
      </c>
      <c r="K4" s="44">
        <v>899530.0</v>
      </c>
      <c r="L4" s="44"/>
      <c r="M4" s="44">
        <v>605582.0</v>
      </c>
      <c r="N4" s="44">
        <v>92050.0</v>
      </c>
      <c r="O4" s="44">
        <v>23000.0</v>
      </c>
      <c r="P4" s="44">
        <v>2700058.0</v>
      </c>
      <c r="Q4" s="44"/>
      <c r="R4" s="44">
        <v>4.2689162E7</v>
      </c>
      <c r="S4" s="44"/>
      <c r="T4" s="45">
        <v>520540.0</v>
      </c>
      <c r="U4" s="46">
        <v>6.1318306E7</v>
      </c>
      <c r="V4" s="47">
        <f t="shared" si="1"/>
        <v>23.92699851</v>
      </c>
    </row>
    <row r="5" ht="12.75" customHeight="1">
      <c r="A5" s="30" t="s">
        <v>22</v>
      </c>
      <c r="B5" s="43">
        <v>17500.0</v>
      </c>
      <c r="C5" s="43">
        <v>26700.0</v>
      </c>
      <c r="D5" s="44">
        <v>101980.0</v>
      </c>
      <c r="E5" s="44"/>
      <c r="F5" s="44"/>
      <c r="G5" s="44">
        <v>10000.0</v>
      </c>
      <c r="H5" s="44">
        <v>260410.0</v>
      </c>
      <c r="I5" s="44">
        <v>574510.0</v>
      </c>
      <c r="J5" s="44"/>
      <c r="K5" s="44">
        <v>8750.0</v>
      </c>
      <c r="L5" s="44"/>
      <c r="M5" s="44">
        <v>784612.0</v>
      </c>
      <c r="N5" s="44"/>
      <c r="O5" s="44">
        <v>2500.0</v>
      </c>
      <c r="P5" s="44"/>
      <c r="Q5" s="44"/>
      <c r="R5" s="44">
        <v>3413730.0</v>
      </c>
      <c r="S5" s="44"/>
      <c r="T5" s="45">
        <v>66440.0</v>
      </c>
      <c r="U5" s="46">
        <v>5267132.0</v>
      </c>
      <c r="V5" s="47">
        <f t="shared" si="1"/>
        <v>2.055286059</v>
      </c>
    </row>
    <row r="6" ht="12.75" customHeight="1">
      <c r="A6" s="30" t="s">
        <v>23</v>
      </c>
      <c r="B6" s="43">
        <v>21880.0</v>
      </c>
      <c r="C6" s="43">
        <v>7848.0</v>
      </c>
      <c r="D6" s="44">
        <v>47930.0</v>
      </c>
      <c r="E6" s="44">
        <v>4032.0</v>
      </c>
      <c r="F6" s="44"/>
      <c r="G6" s="44">
        <v>20000.0</v>
      </c>
      <c r="H6" s="44">
        <v>45024.0</v>
      </c>
      <c r="I6" s="44">
        <v>30536.0</v>
      </c>
      <c r="J6" s="44">
        <v>3580.0</v>
      </c>
      <c r="K6" s="44"/>
      <c r="L6" s="44"/>
      <c r="M6" s="44"/>
      <c r="N6" s="44"/>
      <c r="O6" s="44">
        <v>8240.0</v>
      </c>
      <c r="P6" s="44"/>
      <c r="Q6" s="44"/>
      <c r="R6" s="44">
        <v>2.9466812E7</v>
      </c>
      <c r="S6" s="44"/>
      <c r="T6" s="45">
        <v>211036.0</v>
      </c>
      <c r="U6" s="46">
        <v>2.9866918E7</v>
      </c>
      <c r="V6" s="47">
        <f t="shared" si="1"/>
        <v>11.65436146</v>
      </c>
    </row>
    <row r="7" ht="12.75" customHeight="1">
      <c r="A7" s="30" t="s">
        <v>24</v>
      </c>
      <c r="B7" s="43">
        <v>1178690.0</v>
      </c>
      <c r="C7" s="43">
        <v>1198770.0</v>
      </c>
      <c r="D7" s="44">
        <v>60680.0</v>
      </c>
      <c r="E7" s="44"/>
      <c r="F7" s="44"/>
      <c r="G7" s="44"/>
      <c r="H7" s="44">
        <v>142590.0</v>
      </c>
      <c r="I7" s="44">
        <v>31355.0</v>
      </c>
      <c r="J7" s="44">
        <v>6900.0</v>
      </c>
      <c r="K7" s="44">
        <v>58460.0</v>
      </c>
      <c r="L7" s="44">
        <v>2000.0</v>
      </c>
      <c r="M7" s="44">
        <v>5800.0</v>
      </c>
      <c r="N7" s="44"/>
      <c r="O7" s="44">
        <v>4225.0</v>
      </c>
      <c r="P7" s="44"/>
      <c r="Q7" s="44"/>
      <c r="R7" s="44">
        <v>52510.0</v>
      </c>
      <c r="S7" s="44"/>
      <c r="T7" s="45">
        <v>43520.0</v>
      </c>
      <c r="U7" s="46">
        <v>2785500.0</v>
      </c>
      <c r="V7" s="47">
        <f t="shared" si="1"/>
        <v>1.086929152</v>
      </c>
    </row>
    <row r="8" ht="12.75" customHeight="1">
      <c r="A8" s="30" t="s">
        <v>25</v>
      </c>
      <c r="B8" s="43">
        <v>557160.0</v>
      </c>
      <c r="C8" s="43">
        <v>2513670.0</v>
      </c>
      <c r="D8" s="44">
        <v>2697160.0</v>
      </c>
      <c r="E8" s="44">
        <v>216110.0</v>
      </c>
      <c r="F8" s="44">
        <v>204200.0</v>
      </c>
      <c r="G8" s="44">
        <v>15640.0</v>
      </c>
      <c r="H8" s="44">
        <v>294295.0</v>
      </c>
      <c r="I8" s="44">
        <v>1105285.0</v>
      </c>
      <c r="J8" s="44">
        <v>812555.0</v>
      </c>
      <c r="K8" s="44">
        <v>3577040.0</v>
      </c>
      <c r="L8" s="44">
        <v>450.0</v>
      </c>
      <c r="M8" s="44">
        <v>72760.0</v>
      </c>
      <c r="N8" s="44">
        <v>89040.0</v>
      </c>
      <c r="O8" s="44">
        <v>49800.0</v>
      </c>
      <c r="P8" s="44">
        <v>322260.0</v>
      </c>
      <c r="Q8" s="44">
        <v>5700.0</v>
      </c>
      <c r="R8" s="44">
        <v>842470.0</v>
      </c>
      <c r="S8" s="44"/>
      <c r="T8" s="45">
        <v>164762.0</v>
      </c>
      <c r="U8" s="46">
        <v>1.3540357E7</v>
      </c>
      <c r="V8" s="47">
        <f t="shared" si="1"/>
        <v>5.283578801</v>
      </c>
    </row>
    <row r="9" ht="12.75" customHeight="1">
      <c r="A9" s="33" t="s">
        <v>26</v>
      </c>
      <c r="B9" s="48">
        <v>920995.0</v>
      </c>
      <c r="C9" s="48">
        <v>353370.0</v>
      </c>
      <c r="D9" s="45">
        <v>7117890.0</v>
      </c>
      <c r="E9" s="44">
        <v>568150.0</v>
      </c>
      <c r="F9" s="44">
        <v>22500.0</v>
      </c>
      <c r="G9" s="44"/>
      <c r="H9" s="44">
        <v>626910.0</v>
      </c>
      <c r="I9" s="44">
        <v>3317815.0</v>
      </c>
      <c r="J9" s="44">
        <v>365910.0</v>
      </c>
      <c r="K9" s="44">
        <v>3887930.0</v>
      </c>
      <c r="L9" s="44"/>
      <c r="M9" s="44">
        <v>101060.0</v>
      </c>
      <c r="N9" s="44"/>
      <c r="O9" s="44"/>
      <c r="P9" s="44">
        <v>58790.0</v>
      </c>
      <c r="Q9" s="44">
        <v>2000.0</v>
      </c>
      <c r="R9" s="44"/>
      <c r="S9" s="44"/>
      <c r="T9" s="45">
        <v>187740.0</v>
      </c>
      <c r="U9" s="46">
        <v>1.753106E7</v>
      </c>
      <c r="V9" s="47">
        <f t="shared" si="1"/>
        <v>6.840789868</v>
      </c>
      <c r="W9" s="35"/>
      <c r="X9" s="35"/>
      <c r="Y9" s="35"/>
    </row>
    <row r="10" ht="12.75" customHeight="1">
      <c r="A10" s="33" t="s">
        <v>27</v>
      </c>
      <c r="B10" s="48"/>
      <c r="C10" s="48">
        <v>1411090.0</v>
      </c>
      <c r="D10" s="45"/>
      <c r="E10" s="44"/>
      <c r="F10" s="44"/>
      <c r="G10" s="44">
        <v>16000.0</v>
      </c>
      <c r="H10" s="44"/>
      <c r="I10" s="44"/>
      <c r="J10" s="44"/>
      <c r="K10" s="44">
        <v>123000.0</v>
      </c>
      <c r="L10" s="44">
        <v>4450.0</v>
      </c>
      <c r="M10" s="44"/>
      <c r="N10" s="44">
        <v>234590.0</v>
      </c>
      <c r="O10" s="44">
        <v>55100.0</v>
      </c>
      <c r="P10" s="44"/>
      <c r="Q10" s="44"/>
      <c r="R10" s="44">
        <v>1038770.0</v>
      </c>
      <c r="S10" s="44"/>
      <c r="T10" s="45">
        <v>123030.0</v>
      </c>
      <c r="U10" s="46">
        <v>3006030.0</v>
      </c>
      <c r="V10" s="47">
        <f t="shared" si="1"/>
        <v>1.1729821</v>
      </c>
      <c r="W10" s="35"/>
      <c r="X10" s="35"/>
      <c r="Y10" s="35"/>
    </row>
    <row r="11" ht="12.75" customHeight="1">
      <c r="A11" s="33" t="s">
        <v>29</v>
      </c>
      <c r="B11" s="48">
        <v>92000.0</v>
      </c>
      <c r="C11" s="48">
        <v>112215.0</v>
      </c>
      <c r="D11" s="45">
        <v>17900.0</v>
      </c>
      <c r="E11" s="44"/>
      <c r="F11" s="44"/>
      <c r="G11" s="44"/>
      <c r="H11" s="44">
        <v>36900.0</v>
      </c>
      <c r="I11" s="44">
        <v>6000.0</v>
      </c>
      <c r="J11" s="44">
        <v>1000.0</v>
      </c>
      <c r="K11" s="44">
        <v>3000.0</v>
      </c>
      <c r="L11" s="44"/>
      <c r="M11" s="44"/>
      <c r="N11" s="44"/>
      <c r="O11" s="44"/>
      <c r="P11" s="44"/>
      <c r="Q11" s="44"/>
      <c r="R11" s="44"/>
      <c r="S11" s="44"/>
      <c r="T11" s="45">
        <v>36125.0</v>
      </c>
      <c r="U11" s="46">
        <v>305140.0</v>
      </c>
      <c r="V11" s="47">
        <f t="shared" si="1"/>
        <v>0.1190685914</v>
      </c>
      <c r="W11" s="35"/>
      <c r="X11" s="35"/>
      <c r="Y11" s="35"/>
    </row>
    <row r="12" ht="12.75" customHeight="1">
      <c r="A12" s="33" t="s">
        <v>30</v>
      </c>
      <c r="B12" s="48">
        <v>26270.0</v>
      </c>
      <c r="C12" s="48">
        <v>1182486.0</v>
      </c>
      <c r="D12" s="45">
        <v>524065.0</v>
      </c>
      <c r="E12" s="44">
        <v>9600.0</v>
      </c>
      <c r="F12" s="44">
        <v>7000.0</v>
      </c>
      <c r="G12" s="44">
        <v>3000.0</v>
      </c>
      <c r="H12" s="44">
        <v>58186.0</v>
      </c>
      <c r="I12" s="44">
        <v>932665.0</v>
      </c>
      <c r="J12" s="44">
        <v>29000.0</v>
      </c>
      <c r="K12" s="44">
        <v>2019115.0</v>
      </c>
      <c r="L12" s="44">
        <v>1000.0</v>
      </c>
      <c r="M12" s="44">
        <v>378095.0</v>
      </c>
      <c r="N12" s="44">
        <v>8900.0</v>
      </c>
      <c r="O12" s="44">
        <v>780.0</v>
      </c>
      <c r="P12" s="44">
        <v>36700.0</v>
      </c>
      <c r="Q12" s="44">
        <v>1000.0</v>
      </c>
      <c r="R12" s="44">
        <v>21000.0</v>
      </c>
      <c r="S12" s="44"/>
      <c r="T12" s="45">
        <v>50525.0</v>
      </c>
      <c r="U12" s="46">
        <v>5289387.0</v>
      </c>
      <c r="V12" s="47">
        <f t="shared" si="1"/>
        <v>2.063970176</v>
      </c>
      <c r="W12" s="35"/>
      <c r="X12" s="35"/>
      <c r="Y12" s="35"/>
    </row>
    <row r="13" ht="12.75" customHeight="1">
      <c r="A13" s="30" t="s">
        <v>31</v>
      </c>
      <c r="B13" s="43">
        <v>7075.0</v>
      </c>
      <c r="C13" s="43">
        <v>379068.0</v>
      </c>
      <c r="D13" s="44">
        <v>901505.0</v>
      </c>
      <c r="E13" s="44">
        <v>1000.0</v>
      </c>
      <c r="F13" s="44">
        <v>109000.0</v>
      </c>
      <c r="G13" s="44">
        <v>46000.0</v>
      </c>
      <c r="H13" s="44">
        <v>7700.0</v>
      </c>
      <c r="I13" s="44">
        <v>42425.0</v>
      </c>
      <c r="J13" s="44">
        <v>7900.0</v>
      </c>
      <c r="K13" s="44">
        <v>125775.0</v>
      </c>
      <c r="L13" s="44">
        <v>6700.0</v>
      </c>
      <c r="M13" s="44">
        <v>10000.0</v>
      </c>
      <c r="N13" s="44">
        <v>31750.0</v>
      </c>
      <c r="O13" s="44">
        <v>445270.0</v>
      </c>
      <c r="P13" s="44"/>
      <c r="Q13" s="44">
        <v>2000.0</v>
      </c>
      <c r="R13" s="44">
        <v>230700.0</v>
      </c>
      <c r="S13" s="44"/>
      <c r="T13" s="45">
        <v>13250.0</v>
      </c>
      <c r="U13" s="46">
        <v>2367118.0</v>
      </c>
      <c r="V13" s="47">
        <f t="shared" si="1"/>
        <v>0.9236724323</v>
      </c>
    </row>
    <row r="14" ht="12.75" customHeight="1">
      <c r="A14" s="30" t="s">
        <v>32</v>
      </c>
      <c r="B14" s="43"/>
      <c r="C14" s="43">
        <v>86500.0</v>
      </c>
      <c r="D14" s="44">
        <v>12000.0</v>
      </c>
      <c r="E14" s="44"/>
      <c r="F14" s="44"/>
      <c r="G14" s="44">
        <v>5000.0</v>
      </c>
      <c r="H14" s="44"/>
      <c r="I14" s="44">
        <v>1000.0</v>
      </c>
      <c r="J14" s="44"/>
      <c r="K14" s="44">
        <v>3000.0</v>
      </c>
      <c r="L14" s="44"/>
      <c r="M14" s="44"/>
      <c r="N14" s="44"/>
      <c r="O14" s="44">
        <v>41600.0</v>
      </c>
      <c r="P14" s="44"/>
      <c r="Q14" s="44"/>
      <c r="R14" s="44">
        <v>64000.0</v>
      </c>
      <c r="S14" s="44"/>
      <c r="T14" s="45">
        <v>13000.0</v>
      </c>
      <c r="U14" s="46">
        <v>226100.0</v>
      </c>
      <c r="V14" s="47">
        <f t="shared" si="1"/>
        <v>0.08822641581</v>
      </c>
    </row>
    <row r="15" ht="12.75" customHeight="1">
      <c r="A15" s="30" t="s">
        <v>33</v>
      </c>
      <c r="B15" s="43">
        <v>44860.0</v>
      </c>
      <c r="C15" s="43">
        <v>1461850.0</v>
      </c>
      <c r="D15" s="44">
        <v>1074450.0</v>
      </c>
      <c r="E15" s="44">
        <v>3100.0</v>
      </c>
      <c r="F15" s="44">
        <v>41000.0</v>
      </c>
      <c r="G15" s="44">
        <v>98460.0</v>
      </c>
      <c r="H15" s="44">
        <v>74900.0</v>
      </c>
      <c r="I15" s="44">
        <v>540365.0</v>
      </c>
      <c r="J15" s="44">
        <v>12100.0</v>
      </c>
      <c r="K15" s="44">
        <v>127600.0</v>
      </c>
      <c r="L15" s="44">
        <v>2000.0</v>
      </c>
      <c r="M15" s="44">
        <v>60200.0</v>
      </c>
      <c r="N15" s="44">
        <v>344205.0</v>
      </c>
      <c r="O15" s="44">
        <v>614395.0</v>
      </c>
      <c r="P15" s="44">
        <v>4725.0</v>
      </c>
      <c r="Q15" s="44">
        <v>2500.0</v>
      </c>
      <c r="R15" s="44">
        <v>298600.0</v>
      </c>
      <c r="S15" s="44"/>
      <c r="T15" s="45">
        <v>23860.0</v>
      </c>
      <c r="U15" s="46">
        <v>4829170.0</v>
      </c>
      <c r="V15" s="47">
        <f t="shared" si="1"/>
        <v>1.884389033</v>
      </c>
    </row>
    <row r="16" ht="12.75" customHeight="1">
      <c r="A16" s="30" t="s">
        <v>34</v>
      </c>
      <c r="B16" s="43">
        <v>6500.0</v>
      </c>
      <c r="C16" s="43">
        <v>460510.0</v>
      </c>
      <c r="D16" s="44">
        <v>317400.0</v>
      </c>
      <c r="E16" s="44"/>
      <c r="F16" s="44">
        <v>1000.0</v>
      </c>
      <c r="G16" s="44">
        <v>11000.0</v>
      </c>
      <c r="H16" s="44">
        <v>23450.0</v>
      </c>
      <c r="I16" s="44">
        <v>256255.0</v>
      </c>
      <c r="J16" s="44">
        <v>167100.0</v>
      </c>
      <c r="K16" s="44">
        <v>48060.0</v>
      </c>
      <c r="L16" s="44"/>
      <c r="M16" s="44">
        <v>57800.0</v>
      </c>
      <c r="N16" s="44">
        <v>135000.0</v>
      </c>
      <c r="O16" s="44">
        <v>24000.0</v>
      </c>
      <c r="P16" s="44"/>
      <c r="Q16" s="44"/>
      <c r="R16" s="44">
        <v>1055230.0</v>
      </c>
      <c r="S16" s="44"/>
      <c r="T16" s="45">
        <v>68410.0</v>
      </c>
      <c r="U16" s="46">
        <v>2631715.0</v>
      </c>
      <c r="V16" s="47">
        <f t="shared" si="1"/>
        <v>1.026920751</v>
      </c>
    </row>
    <row r="17" ht="12.75" customHeight="1">
      <c r="A17" s="30" t="s">
        <v>35</v>
      </c>
      <c r="B17" s="43">
        <v>15950.0</v>
      </c>
      <c r="C17" s="43">
        <v>317205.0</v>
      </c>
      <c r="D17" s="44">
        <v>1447160.0</v>
      </c>
      <c r="E17" s="44">
        <v>3700.0</v>
      </c>
      <c r="F17" s="44">
        <v>5000.0</v>
      </c>
      <c r="G17" s="44">
        <v>40500.0</v>
      </c>
      <c r="H17" s="44">
        <v>58365.0</v>
      </c>
      <c r="I17" s="44">
        <v>250700.0</v>
      </c>
      <c r="J17" s="44">
        <v>5000.0</v>
      </c>
      <c r="K17" s="44">
        <v>77575.0</v>
      </c>
      <c r="L17" s="44">
        <v>2000.0</v>
      </c>
      <c r="M17" s="44">
        <v>61800.0</v>
      </c>
      <c r="N17" s="44">
        <v>26625.0</v>
      </c>
      <c r="O17" s="44">
        <v>264880.0</v>
      </c>
      <c r="P17" s="44">
        <v>700.0</v>
      </c>
      <c r="Q17" s="44">
        <v>3000.0</v>
      </c>
      <c r="R17" s="44">
        <v>471600.0</v>
      </c>
      <c r="S17" s="44"/>
      <c r="T17" s="45">
        <v>41590.0</v>
      </c>
      <c r="U17" s="46">
        <v>3093350.0</v>
      </c>
      <c r="V17" s="47">
        <f t="shared" si="1"/>
        <v>1.207055212</v>
      </c>
    </row>
    <row r="18" ht="12.75" customHeight="1">
      <c r="A18" s="30" t="s">
        <v>36</v>
      </c>
      <c r="B18" s="43"/>
      <c r="C18" s="43">
        <v>182200.0</v>
      </c>
      <c r="D18" s="44">
        <v>188700.0</v>
      </c>
      <c r="E18" s="44"/>
      <c r="F18" s="44"/>
      <c r="G18" s="44">
        <v>4000.0</v>
      </c>
      <c r="H18" s="44"/>
      <c r="I18" s="44">
        <v>11000.0</v>
      </c>
      <c r="J18" s="44"/>
      <c r="K18" s="44">
        <v>10300.0</v>
      </c>
      <c r="L18" s="44"/>
      <c r="M18" s="44">
        <v>136500.0</v>
      </c>
      <c r="N18" s="44">
        <v>5000.0</v>
      </c>
      <c r="O18" s="44">
        <v>242250.0</v>
      </c>
      <c r="P18" s="44"/>
      <c r="Q18" s="44"/>
      <c r="R18" s="44">
        <v>278550.0</v>
      </c>
      <c r="S18" s="44"/>
      <c r="T18" s="45">
        <v>20400.0</v>
      </c>
      <c r="U18" s="46">
        <v>1078900.0</v>
      </c>
      <c r="V18" s="47">
        <f t="shared" si="1"/>
        <v>0.4209972579</v>
      </c>
    </row>
    <row r="19" ht="12.75" customHeight="1">
      <c r="A19" s="30" t="s">
        <v>37</v>
      </c>
      <c r="B19" s="43">
        <v>2200.0</v>
      </c>
      <c r="C19" s="43">
        <v>2000.0</v>
      </c>
      <c r="D19" s="44">
        <v>23700.0</v>
      </c>
      <c r="E19" s="44"/>
      <c r="F19" s="44"/>
      <c r="G19" s="44"/>
      <c r="H19" s="44">
        <v>25885.0</v>
      </c>
      <c r="I19" s="44">
        <v>18750.0</v>
      </c>
      <c r="J19" s="44">
        <v>3475.0</v>
      </c>
      <c r="K19" s="44">
        <v>5700.0</v>
      </c>
      <c r="L19" s="44"/>
      <c r="M19" s="44">
        <v>4000.0</v>
      </c>
      <c r="N19" s="44"/>
      <c r="O19" s="44"/>
      <c r="P19" s="44"/>
      <c r="Q19" s="44"/>
      <c r="R19" s="44"/>
      <c r="S19" s="44"/>
      <c r="T19" s="45">
        <v>4700.0</v>
      </c>
      <c r="U19" s="46">
        <v>90410.0</v>
      </c>
      <c r="V19" s="47">
        <f t="shared" si="1"/>
        <v>0.03527886003</v>
      </c>
    </row>
    <row r="20" ht="12.75" customHeight="1">
      <c r="A20" s="30" t="s">
        <v>38</v>
      </c>
      <c r="B20" s="43">
        <v>2300.0</v>
      </c>
      <c r="C20" s="43">
        <v>309390.0</v>
      </c>
      <c r="D20" s="44">
        <v>1773315.0</v>
      </c>
      <c r="E20" s="44">
        <v>3000.0</v>
      </c>
      <c r="F20" s="44">
        <v>80950.0</v>
      </c>
      <c r="G20" s="44">
        <v>285025.0</v>
      </c>
      <c r="H20" s="44">
        <v>26890.0</v>
      </c>
      <c r="I20" s="44">
        <v>694125.0</v>
      </c>
      <c r="J20" s="44">
        <v>31280.0</v>
      </c>
      <c r="K20" s="44">
        <v>145925.0</v>
      </c>
      <c r="L20" s="44">
        <v>3000.0</v>
      </c>
      <c r="M20" s="44">
        <v>12275.0</v>
      </c>
      <c r="N20" s="44">
        <v>117800.0</v>
      </c>
      <c r="O20" s="44">
        <v>72100.0</v>
      </c>
      <c r="P20" s="44">
        <v>3200.0</v>
      </c>
      <c r="Q20" s="44"/>
      <c r="R20" s="44">
        <v>924475.0</v>
      </c>
      <c r="S20" s="44"/>
      <c r="T20" s="45">
        <v>13200.0</v>
      </c>
      <c r="U20" s="46">
        <v>4498250.0</v>
      </c>
      <c r="V20" s="47">
        <f t="shared" si="1"/>
        <v>1.755260836</v>
      </c>
    </row>
    <row r="21" ht="12.75" customHeight="1">
      <c r="A21" s="30" t="s">
        <v>39</v>
      </c>
      <c r="B21" s="43">
        <v>3000.0</v>
      </c>
      <c r="C21" s="43">
        <v>187135.0</v>
      </c>
      <c r="D21" s="44">
        <v>1643525.0</v>
      </c>
      <c r="E21" s="44">
        <v>1000.0</v>
      </c>
      <c r="F21" s="44">
        <v>24000.0</v>
      </c>
      <c r="G21" s="44">
        <v>22000.0</v>
      </c>
      <c r="H21" s="44">
        <v>18100.0</v>
      </c>
      <c r="I21" s="44">
        <v>140500.0</v>
      </c>
      <c r="J21" s="44">
        <v>6500.0</v>
      </c>
      <c r="K21" s="44">
        <v>63880.0</v>
      </c>
      <c r="L21" s="44"/>
      <c r="M21" s="44">
        <v>11100.0</v>
      </c>
      <c r="N21" s="44">
        <v>84260.0</v>
      </c>
      <c r="O21" s="44">
        <v>45500.0</v>
      </c>
      <c r="P21" s="44"/>
      <c r="Q21" s="44">
        <v>3000.0</v>
      </c>
      <c r="R21" s="44">
        <v>394975.0</v>
      </c>
      <c r="S21" s="44"/>
      <c r="T21" s="45">
        <v>85850.0</v>
      </c>
      <c r="U21" s="46">
        <v>2734325.0</v>
      </c>
      <c r="V21" s="47">
        <f t="shared" si="1"/>
        <v>1.06696017</v>
      </c>
    </row>
    <row r="22" ht="12.75" customHeight="1">
      <c r="A22" s="30" t="s">
        <v>40</v>
      </c>
      <c r="B22" s="43"/>
      <c r="C22" s="43">
        <v>17500.0</v>
      </c>
      <c r="D22" s="44">
        <v>13500.0</v>
      </c>
      <c r="E22" s="44"/>
      <c r="F22" s="44">
        <v>9000.0</v>
      </c>
      <c r="G22" s="44">
        <v>398300.0</v>
      </c>
      <c r="H22" s="44"/>
      <c r="I22" s="44">
        <v>19600.0</v>
      </c>
      <c r="J22" s="44">
        <v>5000.0</v>
      </c>
      <c r="K22" s="44">
        <v>9500.0</v>
      </c>
      <c r="L22" s="44"/>
      <c r="M22" s="44"/>
      <c r="N22" s="44">
        <v>94100.0</v>
      </c>
      <c r="O22" s="44">
        <v>1241270.0</v>
      </c>
      <c r="P22" s="44"/>
      <c r="Q22" s="44"/>
      <c r="R22" s="44">
        <v>1374390.0</v>
      </c>
      <c r="S22" s="44"/>
      <c r="T22" s="45">
        <v>71840.0</v>
      </c>
      <c r="U22" s="46">
        <v>3254000.0</v>
      </c>
      <c r="V22" s="47">
        <f t="shared" si="1"/>
        <v>1.269742402</v>
      </c>
    </row>
    <row r="23" ht="12.75" customHeight="1">
      <c r="A23" s="30" t="s">
        <v>41</v>
      </c>
      <c r="B23" s="43"/>
      <c r="C23" s="43">
        <v>106400.0</v>
      </c>
      <c r="D23" s="44">
        <v>54000.0</v>
      </c>
      <c r="E23" s="44">
        <v>1000.0</v>
      </c>
      <c r="F23" s="44"/>
      <c r="G23" s="44">
        <v>2000.0</v>
      </c>
      <c r="H23" s="44">
        <v>1000.0</v>
      </c>
      <c r="I23" s="44">
        <v>3250.0</v>
      </c>
      <c r="J23" s="44"/>
      <c r="K23" s="44"/>
      <c r="L23" s="44"/>
      <c r="M23" s="44">
        <v>5000.0</v>
      </c>
      <c r="N23" s="44"/>
      <c r="O23" s="44"/>
      <c r="P23" s="44"/>
      <c r="Q23" s="44"/>
      <c r="R23" s="44">
        <v>4000.0</v>
      </c>
      <c r="S23" s="44"/>
      <c r="T23" s="45">
        <v>6000.0</v>
      </c>
      <c r="U23" s="46">
        <v>182650.0</v>
      </c>
      <c r="V23" s="47">
        <f t="shared" si="1"/>
        <v>0.07127180384</v>
      </c>
    </row>
    <row r="24" ht="12.75" customHeight="1">
      <c r="A24" s="30" t="s">
        <v>42</v>
      </c>
      <c r="B24" s="43">
        <v>22500.0</v>
      </c>
      <c r="C24" s="43">
        <v>66600.0</v>
      </c>
      <c r="D24" s="44">
        <v>1749945.0</v>
      </c>
      <c r="E24" s="44">
        <v>5250.0</v>
      </c>
      <c r="F24" s="44">
        <v>16500.0</v>
      </c>
      <c r="G24" s="44">
        <v>15000.0</v>
      </c>
      <c r="H24" s="44">
        <v>10580.0</v>
      </c>
      <c r="I24" s="44">
        <v>362340.0</v>
      </c>
      <c r="J24" s="44">
        <v>5450.0</v>
      </c>
      <c r="K24" s="44">
        <v>31250.0</v>
      </c>
      <c r="L24" s="44"/>
      <c r="M24" s="44">
        <v>12650.0</v>
      </c>
      <c r="N24" s="44">
        <v>49050.0</v>
      </c>
      <c r="O24" s="44">
        <v>8125.0</v>
      </c>
      <c r="P24" s="44">
        <v>3000.0</v>
      </c>
      <c r="Q24" s="44">
        <v>2000.0</v>
      </c>
      <c r="R24" s="44">
        <v>9600.0</v>
      </c>
      <c r="S24" s="44"/>
      <c r="T24" s="45">
        <v>700.0</v>
      </c>
      <c r="U24" s="46">
        <v>2370540.0</v>
      </c>
      <c r="V24" s="47">
        <f t="shared" si="1"/>
        <v>0.92500773</v>
      </c>
    </row>
    <row r="25" ht="12.75" customHeight="1">
      <c r="A25" s="30" t="s">
        <v>43</v>
      </c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>
        <v>1000.0</v>
      </c>
      <c r="P25" s="44"/>
      <c r="Q25" s="44"/>
      <c r="R25" s="44">
        <v>8000.0</v>
      </c>
      <c r="S25" s="44"/>
      <c r="T25" s="45">
        <v>0.0</v>
      </c>
      <c r="U25" s="46">
        <v>9000.0</v>
      </c>
      <c r="V25" s="47">
        <f t="shared" si="1"/>
        <v>0.003511887405</v>
      </c>
    </row>
    <row r="26" ht="12.75" customHeight="1">
      <c r="A26" s="30" t="s">
        <v>44</v>
      </c>
      <c r="B26" s="43">
        <v>2000.0</v>
      </c>
      <c r="C26" s="43">
        <v>142203.0</v>
      </c>
      <c r="D26" s="44">
        <v>77105.0</v>
      </c>
      <c r="E26" s="44"/>
      <c r="F26" s="44">
        <v>2000.0</v>
      </c>
      <c r="G26" s="44">
        <v>151500.0</v>
      </c>
      <c r="H26" s="44">
        <v>5000.0</v>
      </c>
      <c r="I26" s="44">
        <v>256701.0</v>
      </c>
      <c r="J26" s="44">
        <v>4400.0</v>
      </c>
      <c r="K26" s="44">
        <v>36800.0</v>
      </c>
      <c r="L26" s="44">
        <v>24203.0</v>
      </c>
      <c r="M26" s="44">
        <v>3800.0</v>
      </c>
      <c r="N26" s="44">
        <v>38000.0</v>
      </c>
      <c r="O26" s="44">
        <v>19000.0</v>
      </c>
      <c r="P26" s="44"/>
      <c r="Q26" s="44"/>
      <c r="R26" s="44">
        <v>377707.0</v>
      </c>
      <c r="S26" s="44"/>
      <c r="T26" s="45">
        <v>102400.0</v>
      </c>
      <c r="U26" s="46">
        <v>1242819.0</v>
      </c>
      <c r="V26" s="47">
        <f t="shared" si="1"/>
        <v>0.4849600437</v>
      </c>
    </row>
    <row r="27" ht="12.75" customHeight="1">
      <c r="A27" s="30" t="s">
        <v>45</v>
      </c>
      <c r="B27" s="43">
        <v>975740.0</v>
      </c>
      <c r="C27" s="43">
        <v>393100.0</v>
      </c>
      <c r="D27" s="44">
        <v>235550.0</v>
      </c>
      <c r="E27" s="44"/>
      <c r="F27" s="44"/>
      <c r="G27" s="44">
        <v>37250.0</v>
      </c>
      <c r="H27" s="44">
        <v>159930.0</v>
      </c>
      <c r="I27" s="44">
        <v>306420.0</v>
      </c>
      <c r="J27" s="44">
        <v>83300.0</v>
      </c>
      <c r="K27" s="44">
        <v>552280.0</v>
      </c>
      <c r="L27" s="44">
        <v>6150.0</v>
      </c>
      <c r="M27" s="44">
        <v>10700.0</v>
      </c>
      <c r="N27" s="44">
        <v>27000.0</v>
      </c>
      <c r="O27" s="44">
        <v>34500.0</v>
      </c>
      <c r="P27" s="44">
        <v>5500.0</v>
      </c>
      <c r="Q27" s="44"/>
      <c r="R27" s="44">
        <v>135000.0</v>
      </c>
      <c r="S27" s="44"/>
      <c r="T27" s="45">
        <v>148550.0</v>
      </c>
      <c r="U27" s="46">
        <v>3110970.0</v>
      </c>
      <c r="V27" s="47">
        <f t="shared" si="1"/>
        <v>1.213930707</v>
      </c>
    </row>
    <row r="28" ht="12.75" customHeight="1">
      <c r="A28" s="30" t="s">
        <v>113</v>
      </c>
      <c r="B28" s="43"/>
      <c r="C28" s="43"/>
      <c r="D28" s="44"/>
      <c r="E28" s="44"/>
      <c r="F28" s="44"/>
      <c r="G28" s="44"/>
      <c r="H28" s="44"/>
      <c r="I28" s="44"/>
      <c r="J28" s="44">
        <v>100.0</v>
      </c>
      <c r="K28" s="44"/>
      <c r="L28" s="44"/>
      <c r="M28" s="44"/>
      <c r="N28" s="44"/>
      <c r="O28" s="44"/>
      <c r="P28" s="44"/>
      <c r="Q28" s="44"/>
      <c r="R28" s="44"/>
      <c r="S28" s="44"/>
      <c r="T28" s="45">
        <v>0.0</v>
      </c>
      <c r="U28" s="46">
        <v>100.0</v>
      </c>
      <c r="V28" s="47">
        <f t="shared" si="1"/>
        <v>0.00003902097117</v>
      </c>
    </row>
    <row r="29" ht="12.75" customHeight="1">
      <c r="A29" s="30" t="s">
        <v>46</v>
      </c>
      <c r="B29" s="43">
        <v>700.0</v>
      </c>
      <c r="C29" s="43">
        <v>433320.0</v>
      </c>
      <c r="D29" s="44">
        <v>1071095.0</v>
      </c>
      <c r="E29" s="44">
        <v>6600.0</v>
      </c>
      <c r="F29" s="44">
        <v>128900.0</v>
      </c>
      <c r="G29" s="44">
        <v>460225.0</v>
      </c>
      <c r="H29" s="44">
        <v>1200.0</v>
      </c>
      <c r="I29" s="44">
        <v>79600.0</v>
      </c>
      <c r="J29" s="44">
        <v>8000.0</v>
      </c>
      <c r="K29" s="44">
        <v>72780.0</v>
      </c>
      <c r="L29" s="44">
        <v>4700.0</v>
      </c>
      <c r="M29" s="44">
        <v>17375.0</v>
      </c>
      <c r="N29" s="44">
        <v>138475.0</v>
      </c>
      <c r="O29" s="44">
        <v>124650.0</v>
      </c>
      <c r="P29" s="44"/>
      <c r="Q29" s="44">
        <v>1000.0</v>
      </c>
      <c r="R29" s="44">
        <v>1502475.0</v>
      </c>
      <c r="S29" s="44"/>
      <c r="T29" s="45">
        <v>21400.0</v>
      </c>
      <c r="U29" s="46">
        <v>4072495.0</v>
      </c>
      <c r="V29" s="47">
        <f t="shared" si="1"/>
        <v>1.5891271</v>
      </c>
    </row>
    <row r="30" ht="12.75" customHeight="1">
      <c r="A30" s="30" t="s">
        <v>47</v>
      </c>
      <c r="B30" s="43"/>
      <c r="C30" s="43">
        <v>2500.0</v>
      </c>
      <c r="D30" s="44">
        <v>26350.0</v>
      </c>
      <c r="E30" s="44">
        <v>4000.0</v>
      </c>
      <c r="F30" s="44">
        <v>2000.0</v>
      </c>
      <c r="G30" s="44"/>
      <c r="H30" s="44">
        <v>9000.0</v>
      </c>
      <c r="I30" s="44"/>
      <c r="J30" s="44">
        <v>5000.0</v>
      </c>
      <c r="K30" s="44">
        <v>2500.0</v>
      </c>
      <c r="L30" s="44"/>
      <c r="M30" s="44">
        <v>7850.0</v>
      </c>
      <c r="N30" s="44">
        <v>1250.0</v>
      </c>
      <c r="O30" s="44">
        <v>3000.0</v>
      </c>
      <c r="P30" s="44"/>
      <c r="Q30" s="44">
        <v>1000.0</v>
      </c>
      <c r="R30" s="44">
        <v>129250.0</v>
      </c>
      <c r="S30" s="44"/>
      <c r="T30" s="45">
        <v>175500.0</v>
      </c>
      <c r="U30" s="46">
        <v>369200.0</v>
      </c>
      <c r="V30" s="47">
        <f t="shared" si="1"/>
        <v>0.1440654256</v>
      </c>
    </row>
    <row r="31" ht="12.75" customHeight="1">
      <c r="A31" s="30" t="s">
        <v>48</v>
      </c>
      <c r="B31" s="43">
        <v>7000.0</v>
      </c>
      <c r="C31" s="43">
        <v>39100.0</v>
      </c>
      <c r="D31" s="44">
        <v>197895.0</v>
      </c>
      <c r="E31" s="44">
        <v>2500.0</v>
      </c>
      <c r="F31" s="44">
        <v>1000.0</v>
      </c>
      <c r="G31" s="44">
        <v>48000.0</v>
      </c>
      <c r="H31" s="44">
        <v>32555.0</v>
      </c>
      <c r="I31" s="44">
        <v>41820.0</v>
      </c>
      <c r="J31" s="44">
        <v>51175.0</v>
      </c>
      <c r="K31" s="44">
        <v>180765.0</v>
      </c>
      <c r="L31" s="44"/>
      <c r="M31" s="44">
        <v>8000.0</v>
      </c>
      <c r="N31" s="44"/>
      <c r="O31" s="44">
        <v>1600.0</v>
      </c>
      <c r="P31" s="44"/>
      <c r="Q31" s="44"/>
      <c r="R31" s="44">
        <v>78190.0</v>
      </c>
      <c r="S31" s="44"/>
      <c r="T31" s="45">
        <v>33110.0</v>
      </c>
      <c r="U31" s="46">
        <v>722710.0</v>
      </c>
      <c r="V31" s="47">
        <f t="shared" si="1"/>
        <v>0.2820084607</v>
      </c>
    </row>
    <row r="32" ht="12.75" customHeight="1">
      <c r="A32" s="30" t="s">
        <v>49</v>
      </c>
      <c r="B32" s="43"/>
      <c r="C32" s="43">
        <v>13550.0</v>
      </c>
      <c r="D32" s="44">
        <v>77275.0</v>
      </c>
      <c r="E32" s="44"/>
      <c r="F32" s="44"/>
      <c r="G32" s="44"/>
      <c r="H32" s="44">
        <v>1200.0</v>
      </c>
      <c r="I32" s="44">
        <v>25250.0</v>
      </c>
      <c r="J32" s="44">
        <v>20800.0</v>
      </c>
      <c r="K32" s="44">
        <v>76750.0</v>
      </c>
      <c r="L32" s="44">
        <v>8800.0</v>
      </c>
      <c r="M32" s="44">
        <v>2450.0</v>
      </c>
      <c r="N32" s="44">
        <v>4500.0</v>
      </c>
      <c r="O32" s="44">
        <v>16500.0</v>
      </c>
      <c r="P32" s="44">
        <v>20500.0</v>
      </c>
      <c r="Q32" s="44"/>
      <c r="R32" s="44">
        <v>14750.0</v>
      </c>
      <c r="S32" s="44"/>
      <c r="T32" s="45">
        <v>39800.0</v>
      </c>
      <c r="U32" s="46">
        <v>322125.0</v>
      </c>
      <c r="V32" s="47">
        <f t="shared" si="1"/>
        <v>0.1256963034</v>
      </c>
    </row>
    <row r="33" ht="12.75" customHeight="1">
      <c r="A33" s="30" t="s">
        <v>50</v>
      </c>
      <c r="B33" s="43">
        <v>9100.0</v>
      </c>
      <c r="C33" s="43">
        <v>9000.0</v>
      </c>
      <c r="D33" s="44">
        <v>114150.0</v>
      </c>
      <c r="E33" s="44"/>
      <c r="F33" s="44"/>
      <c r="G33" s="44">
        <v>11000.0</v>
      </c>
      <c r="H33" s="44">
        <v>1767930.0</v>
      </c>
      <c r="I33" s="44">
        <v>45185.0</v>
      </c>
      <c r="J33" s="44">
        <v>7500.0</v>
      </c>
      <c r="K33" s="44">
        <v>228100.0</v>
      </c>
      <c r="L33" s="44"/>
      <c r="M33" s="44">
        <v>3100.0</v>
      </c>
      <c r="N33" s="44"/>
      <c r="O33" s="44"/>
      <c r="P33" s="44">
        <v>1330.0</v>
      </c>
      <c r="Q33" s="44"/>
      <c r="R33" s="44">
        <v>37000.0</v>
      </c>
      <c r="S33" s="44"/>
      <c r="T33" s="45">
        <v>12300.0</v>
      </c>
      <c r="U33" s="46">
        <v>2245695.0</v>
      </c>
      <c r="V33" s="47">
        <f t="shared" si="1"/>
        <v>0.8762919985</v>
      </c>
    </row>
    <row r="34" ht="12.75" customHeight="1">
      <c r="A34" s="33" t="s">
        <v>51</v>
      </c>
      <c r="B34" s="48">
        <v>1060733.0</v>
      </c>
      <c r="C34" s="48">
        <v>6300.0</v>
      </c>
      <c r="D34" s="45">
        <v>37470.0</v>
      </c>
      <c r="E34" s="44">
        <v>151900.0</v>
      </c>
      <c r="F34" s="44">
        <v>3000.0</v>
      </c>
      <c r="G34" s="44"/>
      <c r="H34" s="44">
        <v>161800.0</v>
      </c>
      <c r="I34" s="44">
        <v>15220.0</v>
      </c>
      <c r="J34" s="44">
        <v>72402.0</v>
      </c>
      <c r="K34" s="44">
        <v>300.0</v>
      </c>
      <c r="L34" s="44"/>
      <c r="M34" s="44">
        <v>1000.0</v>
      </c>
      <c r="N34" s="44"/>
      <c r="O34" s="44"/>
      <c r="P34" s="44">
        <v>2500.0</v>
      </c>
      <c r="Q34" s="44"/>
      <c r="R34" s="44"/>
      <c r="S34" s="44"/>
      <c r="T34" s="45">
        <v>19600.0</v>
      </c>
      <c r="U34" s="46">
        <v>1532225.0</v>
      </c>
      <c r="V34" s="47">
        <f t="shared" si="1"/>
        <v>0.5978890755</v>
      </c>
      <c r="W34" s="35"/>
      <c r="X34" s="35"/>
      <c r="Y34" s="35"/>
    </row>
    <row r="35" ht="12.75" customHeight="1">
      <c r="A35" s="33" t="s">
        <v>52</v>
      </c>
      <c r="B35" s="48">
        <v>582000.0</v>
      </c>
      <c r="C35" s="48"/>
      <c r="D35" s="45">
        <v>1000.0</v>
      </c>
      <c r="E35" s="44"/>
      <c r="F35" s="44"/>
      <c r="G35" s="44"/>
      <c r="H35" s="44">
        <v>116730.0</v>
      </c>
      <c r="I35" s="44"/>
      <c r="J35" s="44">
        <v>4700.0</v>
      </c>
      <c r="K35" s="44"/>
      <c r="L35" s="44"/>
      <c r="M35" s="44"/>
      <c r="N35" s="44"/>
      <c r="O35" s="44"/>
      <c r="P35" s="44"/>
      <c r="Q35" s="44"/>
      <c r="R35" s="44"/>
      <c r="S35" s="44"/>
      <c r="T35" s="45">
        <v>3300.0</v>
      </c>
      <c r="U35" s="46">
        <v>707730.0</v>
      </c>
      <c r="V35" s="47">
        <f t="shared" si="1"/>
        <v>0.2761631193</v>
      </c>
      <c r="W35" s="35"/>
      <c r="X35" s="35"/>
      <c r="Y35" s="35"/>
    </row>
    <row r="36" ht="12.75" customHeight="1">
      <c r="A36" s="33" t="s">
        <v>53</v>
      </c>
      <c r="B36" s="48">
        <v>587500.0</v>
      </c>
      <c r="C36" s="48">
        <v>500.0</v>
      </c>
      <c r="D36" s="45"/>
      <c r="E36" s="44"/>
      <c r="F36" s="44"/>
      <c r="G36" s="44"/>
      <c r="H36" s="44">
        <v>115430.0</v>
      </c>
      <c r="I36" s="44"/>
      <c r="J36" s="44">
        <v>2500.0</v>
      </c>
      <c r="K36" s="44"/>
      <c r="L36" s="44"/>
      <c r="M36" s="44"/>
      <c r="N36" s="44"/>
      <c r="O36" s="44"/>
      <c r="P36" s="44"/>
      <c r="Q36" s="44"/>
      <c r="R36" s="44"/>
      <c r="S36" s="44"/>
      <c r="T36" s="45">
        <v>3300.0</v>
      </c>
      <c r="U36" s="46">
        <v>709230.0</v>
      </c>
      <c r="V36" s="47">
        <f t="shared" si="1"/>
        <v>0.2767484338</v>
      </c>
      <c r="W36" s="35"/>
      <c r="X36" s="35"/>
      <c r="Y36" s="35"/>
    </row>
    <row r="37" ht="12.75" customHeight="1">
      <c r="A37" s="33" t="s">
        <v>54</v>
      </c>
      <c r="B37" s="48">
        <v>86400.0</v>
      </c>
      <c r="C37" s="48"/>
      <c r="D37" s="45"/>
      <c r="E37" s="44"/>
      <c r="F37" s="44"/>
      <c r="G37" s="44"/>
      <c r="H37" s="44">
        <v>149090.0</v>
      </c>
      <c r="I37" s="44"/>
      <c r="J37" s="44">
        <v>6300.0</v>
      </c>
      <c r="K37" s="44"/>
      <c r="L37" s="44"/>
      <c r="M37" s="44"/>
      <c r="N37" s="44"/>
      <c r="O37" s="44"/>
      <c r="P37" s="44"/>
      <c r="Q37" s="44"/>
      <c r="R37" s="44"/>
      <c r="S37" s="44"/>
      <c r="T37" s="45">
        <v>1200.0</v>
      </c>
      <c r="U37" s="46">
        <v>242990.0</v>
      </c>
      <c r="V37" s="47">
        <f t="shared" si="1"/>
        <v>0.09481705784</v>
      </c>
      <c r="W37" s="35"/>
      <c r="X37" s="35"/>
      <c r="Y37" s="35"/>
    </row>
    <row r="38" ht="12.75" customHeight="1">
      <c r="A38" s="33" t="s">
        <v>55</v>
      </c>
      <c r="B38" s="48">
        <v>531980.0</v>
      </c>
      <c r="C38" s="48"/>
      <c r="D38" s="45">
        <v>500.0</v>
      </c>
      <c r="E38" s="44"/>
      <c r="F38" s="44"/>
      <c r="G38" s="44"/>
      <c r="H38" s="44">
        <v>112800.0</v>
      </c>
      <c r="I38" s="44"/>
      <c r="J38" s="44">
        <v>2700.0</v>
      </c>
      <c r="K38" s="44">
        <v>200.0</v>
      </c>
      <c r="L38" s="44"/>
      <c r="M38" s="44"/>
      <c r="N38" s="44"/>
      <c r="O38" s="44"/>
      <c r="P38" s="44"/>
      <c r="Q38" s="44"/>
      <c r="R38" s="44"/>
      <c r="S38" s="44"/>
      <c r="T38" s="45">
        <v>3300.0</v>
      </c>
      <c r="U38" s="46">
        <v>651480.0</v>
      </c>
      <c r="V38" s="47">
        <f t="shared" si="1"/>
        <v>0.254213823</v>
      </c>
      <c r="W38" s="35"/>
      <c r="X38" s="35"/>
      <c r="Y38" s="35"/>
    </row>
    <row r="39" ht="12.75" customHeight="1">
      <c r="A39" s="33" t="s">
        <v>56</v>
      </c>
      <c r="B39" s="48">
        <v>580050.0</v>
      </c>
      <c r="C39" s="48">
        <v>7000.0</v>
      </c>
      <c r="D39" s="45">
        <v>398500.0</v>
      </c>
      <c r="E39" s="44"/>
      <c r="F39" s="44"/>
      <c r="G39" s="44">
        <v>4000.0</v>
      </c>
      <c r="H39" s="44">
        <v>141500.0</v>
      </c>
      <c r="I39" s="44">
        <v>85950.0</v>
      </c>
      <c r="J39" s="44">
        <v>34600.0</v>
      </c>
      <c r="K39" s="44">
        <v>28200.0</v>
      </c>
      <c r="L39" s="44"/>
      <c r="M39" s="44">
        <v>2200.0</v>
      </c>
      <c r="N39" s="44">
        <v>10500.0</v>
      </c>
      <c r="O39" s="44">
        <v>4600.0</v>
      </c>
      <c r="P39" s="44"/>
      <c r="Q39" s="44"/>
      <c r="R39" s="44"/>
      <c r="S39" s="44"/>
      <c r="T39" s="45">
        <v>33300.0</v>
      </c>
      <c r="U39" s="46">
        <v>1330400.0</v>
      </c>
      <c r="V39" s="47">
        <f t="shared" si="1"/>
        <v>0.5191350004</v>
      </c>
      <c r="W39" s="35"/>
      <c r="X39" s="35"/>
      <c r="Y39" s="35"/>
    </row>
    <row r="40" ht="12.75" customHeight="1">
      <c r="A40" s="30" t="s">
        <v>57</v>
      </c>
      <c r="B40" s="43"/>
      <c r="C40" s="43">
        <v>6200.0</v>
      </c>
      <c r="D40" s="44">
        <v>7125.0</v>
      </c>
      <c r="E40" s="44"/>
      <c r="F40" s="44"/>
      <c r="G40" s="44"/>
      <c r="H40" s="44">
        <v>350.0</v>
      </c>
      <c r="I40" s="44">
        <v>57230.0</v>
      </c>
      <c r="J40" s="44">
        <v>16800.0</v>
      </c>
      <c r="K40" s="44">
        <v>2800.0</v>
      </c>
      <c r="L40" s="44"/>
      <c r="M40" s="44"/>
      <c r="N40" s="44"/>
      <c r="O40" s="44">
        <v>10000.0</v>
      </c>
      <c r="P40" s="44"/>
      <c r="Q40" s="44"/>
      <c r="R40" s="44">
        <v>9050.0</v>
      </c>
      <c r="S40" s="44"/>
      <c r="T40" s="45">
        <v>17100.0</v>
      </c>
      <c r="U40" s="46">
        <v>126655.0</v>
      </c>
      <c r="V40" s="47">
        <f t="shared" si="1"/>
        <v>0.04942201103</v>
      </c>
    </row>
    <row r="41" ht="12.75" customHeight="1">
      <c r="A41" s="30" t="s">
        <v>58</v>
      </c>
      <c r="B41" s="43"/>
      <c r="C41" s="43">
        <v>54900.0</v>
      </c>
      <c r="D41" s="44">
        <v>75120.0</v>
      </c>
      <c r="E41" s="44">
        <v>5800.0</v>
      </c>
      <c r="F41" s="44">
        <v>2200.0</v>
      </c>
      <c r="G41" s="44"/>
      <c r="H41" s="44"/>
      <c r="I41" s="44">
        <v>14000.0</v>
      </c>
      <c r="J41" s="44"/>
      <c r="K41" s="44">
        <v>5600.0</v>
      </c>
      <c r="L41" s="44">
        <v>20700.0</v>
      </c>
      <c r="M41" s="44"/>
      <c r="N41" s="44"/>
      <c r="O41" s="44">
        <v>570400.0</v>
      </c>
      <c r="P41" s="44">
        <v>25000.0</v>
      </c>
      <c r="Q41" s="44">
        <v>9680.0</v>
      </c>
      <c r="R41" s="44">
        <v>129500.0</v>
      </c>
      <c r="S41" s="44"/>
      <c r="T41" s="45">
        <v>79700.0</v>
      </c>
      <c r="U41" s="46">
        <v>992600.0</v>
      </c>
      <c r="V41" s="47">
        <f t="shared" si="1"/>
        <v>0.3873221598</v>
      </c>
    </row>
    <row r="42" ht="12.75" customHeight="1">
      <c r="A42" s="30" t="s">
        <v>59</v>
      </c>
      <c r="B42" s="43"/>
      <c r="C42" s="43">
        <v>24525.0</v>
      </c>
      <c r="D42" s="44">
        <v>20975.0</v>
      </c>
      <c r="E42" s="44"/>
      <c r="F42" s="44"/>
      <c r="G42" s="44"/>
      <c r="H42" s="44">
        <v>492847.0</v>
      </c>
      <c r="I42" s="44">
        <v>2200.0</v>
      </c>
      <c r="J42" s="44">
        <v>344700.0</v>
      </c>
      <c r="K42" s="44">
        <v>147750.0</v>
      </c>
      <c r="L42" s="44"/>
      <c r="M42" s="44">
        <v>2000.0</v>
      </c>
      <c r="N42" s="44"/>
      <c r="O42" s="44"/>
      <c r="P42" s="44"/>
      <c r="Q42" s="44"/>
      <c r="R42" s="44"/>
      <c r="S42" s="44"/>
      <c r="T42" s="45">
        <v>20600.0</v>
      </c>
      <c r="U42" s="46">
        <v>1055597.0</v>
      </c>
      <c r="V42" s="47">
        <f t="shared" si="1"/>
        <v>0.411904201</v>
      </c>
    </row>
    <row r="43" ht="12.75" customHeight="1">
      <c r="A43" s="30" t="s">
        <v>60</v>
      </c>
      <c r="B43" s="43">
        <v>9600.0</v>
      </c>
      <c r="C43" s="43">
        <v>1000.0</v>
      </c>
      <c r="D43" s="44"/>
      <c r="E43" s="44"/>
      <c r="F43" s="44"/>
      <c r="G43" s="44"/>
      <c r="H43" s="44">
        <v>41080.0</v>
      </c>
      <c r="I43" s="44">
        <v>1000.0</v>
      </c>
      <c r="J43" s="44">
        <v>2500.0</v>
      </c>
      <c r="K43" s="44"/>
      <c r="L43" s="44"/>
      <c r="M43" s="44">
        <v>4000.0</v>
      </c>
      <c r="N43" s="44"/>
      <c r="O43" s="44"/>
      <c r="P43" s="44"/>
      <c r="Q43" s="44"/>
      <c r="R43" s="44">
        <v>9500.0</v>
      </c>
      <c r="S43" s="44"/>
      <c r="T43" s="45">
        <v>4500.0</v>
      </c>
      <c r="U43" s="46">
        <v>73180.0</v>
      </c>
      <c r="V43" s="47">
        <f t="shared" si="1"/>
        <v>0.0285555467</v>
      </c>
    </row>
    <row r="44" ht="12.75" customHeight="1">
      <c r="A44" s="30" t="s">
        <v>61</v>
      </c>
      <c r="B44" s="43"/>
      <c r="C44" s="43">
        <v>4100.0</v>
      </c>
      <c r="D44" s="44">
        <v>6600.0</v>
      </c>
      <c r="E44" s="44">
        <v>4000.0</v>
      </c>
      <c r="F44" s="44"/>
      <c r="G44" s="44"/>
      <c r="H44" s="44"/>
      <c r="I44" s="44">
        <v>150.0</v>
      </c>
      <c r="J44" s="44"/>
      <c r="K44" s="44">
        <v>3700.0</v>
      </c>
      <c r="L44" s="44">
        <v>217070.0</v>
      </c>
      <c r="M44" s="44">
        <v>20500.0</v>
      </c>
      <c r="N44" s="44"/>
      <c r="O44" s="44">
        <v>2600.0</v>
      </c>
      <c r="P44" s="44">
        <v>250.0</v>
      </c>
      <c r="Q44" s="44"/>
      <c r="R44" s="44"/>
      <c r="S44" s="44"/>
      <c r="T44" s="45">
        <v>6920.0</v>
      </c>
      <c r="U44" s="46">
        <v>265890.0</v>
      </c>
      <c r="V44" s="47">
        <f t="shared" si="1"/>
        <v>0.1037528602</v>
      </c>
    </row>
    <row r="45" ht="12.75" customHeight="1">
      <c r="A45" s="30" t="s">
        <v>62</v>
      </c>
      <c r="B45" s="43">
        <v>288180.0</v>
      </c>
      <c r="C45" s="43">
        <v>76700.0</v>
      </c>
      <c r="D45" s="44"/>
      <c r="E45" s="44"/>
      <c r="F45" s="44"/>
      <c r="G45" s="44"/>
      <c r="H45" s="44">
        <v>129600.0</v>
      </c>
      <c r="I45" s="44"/>
      <c r="J45" s="44">
        <v>1200.0</v>
      </c>
      <c r="K45" s="44"/>
      <c r="L45" s="44"/>
      <c r="M45" s="44"/>
      <c r="N45" s="44">
        <v>1000.0</v>
      </c>
      <c r="O45" s="44"/>
      <c r="P45" s="44"/>
      <c r="Q45" s="44"/>
      <c r="R45" s="44">
        <v>4050.0</v>
      </c>
      <c r="S45" s="44"/>
      <c r="T45" s="45">
        <v>1500.0</v>
      </c>
      <c r="U45" s="46">
        <v>502230.0</v>
      </c>
      <c r="V45" s="47">
        <f t="shared" si="1"/>
        <v>0.1959750235</v>
      </c>
    </row>
    <row r="46" ht="12.75" customHeight="1">
      <c r="A46" s="30" t="s">
        <v>63</v>
      </c>
      <c r="B46" s="43">
        <v>18690.0</v>
      </c>
      <c r="C46" s="43">
        <v>4000.0</v>
      </c>
      <c r="D46" s="44">
        <v>3000.0</v>
      </c>
      <c r="E46" s="44"/>
      <c r="F46" s="44"/>
      <c r="G46" s="44"/>
      <c r="H46" s="44">
        <v>1500.0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5">
        <v>50.0</v>
      </c>
      <c r="U46" s="46">
        <v>27240.0</v>
      </c>
      <c r="V46" s="47">
        <f t="shared" si="1"/>
        <v>0.01062931255</v>
      </c>
    </row>
    <row r="47" ht="12.75" customHeight="1">
      <c r="A47" s="30" t="s">
        <v>64</v>
      </c>
      <c r="B47" s="43"/>
      <c r="C47" s="43"/>
      <c r="D47" s="44"/>
      <c r="E47" s="44"/>
      <c r="F47" s="44"/>
      <c r="G47" s="44">
        <v>1000.0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>
        <v>4000.0</v>
      </c>
      <c r="S47" s="44"/>
      <c r="T47" s="45">
        <v>0.0</v>
      </c>
      <c r="U47" s="46">
        <v>5000.0</v>
      </c>
      <c r="V47" s="47">
        <f t="shared" si="1"/>
        <v>0.001951048558</v>
      </c>
    </row>
    <row r="48" ht="12.75" customHeight="1">
      <c r="A48" s="30" t="s">
        <v>65</v>
      </c>
      <c r="B48" s="43"/>
      <c r="C48" s="43"/>
      <c r="D48" s="44">
        <v>6325.0</v>
      </c>
      <c r="E48" s="44"/>
      <c r="F48" s="44"/>
      <c r="G48" s="44"/>
      <c r="H48" s="44"/>
      <c r="I48" s="44">
        <v>1000.0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5">
        <v>2000.0</v>
      </c>
      <c r="U48" s="46">
        <v>9325.0</v>
      </c>
      <c r="V48" s="47">
        <f t="shared" si="1"/>
        <v>0.003638705562</v>
      </c>
    </row>
    <row r="49" ht="12.75" customHeight="1">
      <c r="A49" s="30" t="s">
        <v>66</v>
      </c>
      <c r="B49" s="43">
        <v>18441.0</v>
      </c>
      <c r="C49" s="43"/>
      <c r="D49" s="44">
        <v>12000.0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5">
        <v>50.0</v>
      </c>
      <c r="U49" s="46">
        <v>30491.0</v>
      </c>
      <c r="V49" s="47">
        <f t="shared" si="1"/>
        <v>0.01189788432</v>
      </c>
    </row>
    <row r="50" ht="12.75" customHeight="1">
      <c r="A50" s="30" t="s">
        <v>67</v>
      </c>
      <c r="B50" s="43">
        <v>47445.0</v>
      </c>
      <c r="C50" s="43"/>
      <c r="D50" s="44"/>
      <c r="E50" s="44"/>
      <c r="F50" s="44"/>
      <c r="G50" s="44"/>
      <c r="H50" s="44">
        <v>11250.0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5">
        <v>500.0</v>
      </c>
      <c r="U50" s="46">
        <v>59195.0</v>
      </c>
      <c r="V50" s="47">
        <f t="shared" si="1"/>
        <v>0.02309846388</v>
      </c>
    </row>
    <row r="51" ht="12.75" customHeight="1">
      <c r="A51" s="30" t="s">
        <v>68</v>
      </c>
      <c r="B51" s="43">
        <v>13860.0</v>
      </c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>
        <v>20.0</v>
      </c>
      <c r="U51" s="46">
        <v>13880.0</v>
      </c>
      <c r="V51" s="47">
        <f t="shared" si="1"/>
        <v>0.005416110798</v>
      </c>
    </row>
    <row r="52" ht="12.75" customHeight="1">
      <c r="A52" s="30" t="s">
        <v>69</v>
      </c>
      <c r="B52" s="43">
        <v>14935.0</v>
      </c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>
        <v>30.0</v>
      </c>
      <c r="U52" s="46">
        <v>14965.0</v>
      </c>
      <c r="V52" s="47">
        <f t="shared" si="1"/>
        <v>0.005839488335</v>
      </c>
    </row>
    <row r="53" ht="12.75" customHeight="1">
      <c r="A53" s="30" t="s">
        <v>70</v>
      </c>
      <c r="B53" s="43">
        <v>10520.0</v>
      </c>
      <c r="C53" s="43"/>
      <c r="D53" s="44">
        <v>1000.0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>
        <v>30.0</v>
      </c>
      <c r="U53" s="46">
        <v>11550.0</v>
      </c>
      <c r="V53" s="47">
        <f t="shared" si="1"/>
        <v>0.00450692217</v>
      </c>
    </row>
    <row r="54" ht="12.75" customHeight="1">
      <c r="A54" s="30" t="s">
        <v>71</v>
      </c>
      <c r="B54" s="43">
        <v>37180.0</v>
      </c>
      <c r="C54" s="43"/>
      <c r="D54" s="44"/>
      <c r="E54" s="44"/>
      <c r="F54" s="44"/>
      <c r="G54" s="44"/>
      <c r="H54" s="44">
        <v>9560.0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5">
        <v>1400.0</v>
      </c>
      <c r="U54" s="46">
        <v>48140.0</v>
      </c>
      <c r="V54" s="47">
        <f t="shared" si="1"/>
        <v>0.01878469552</v>
      </c>
    </row>
    <row r="55" ht="12.75" customHeight="1">
      <c r="A55" s="30" t="s">
        <v>72</v>
      </c>
      <c r="B55" s="43">
        <v>24880.0</v>
      </c>
      <c r="C55" s="43">
        <v>7000.0</v>
      </c>
      <c r="D55" s="44">
        <v>600.0</v>
      </c>
      <c r="E55" s="44"/>
      <c r="F55" s="44"/>
      <c r="G55" s="44"/>
      <c r="H55" s="44">
        <v>130.0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5">
        <v>30.0</v>
      </c>
      <c r="U55" s="46">
        <v>32640.0</v>
      </c>
      <c r="V55" s="47">
        <f t="shared" si="1"/>
        <v>0.01273644499</v>
      </c>
    </row>
    <row r="56" ht="12.75" customHeight="1">
      <c r="A56" s="30" t="s">
        <v>73</v>
      </c>
      <c r="B56" s="43">
        <v>221860.0</v>
      </c>
      <c r="C56" s="43">
        <v>54900.0</v>
      </c>
      <c r="D56" s="44">
        <v>7200.0</v>
      </c>
      <c r="E56" s="44"/>
      <c r="F56" s="44"/>
      <c r="G56" s="44"/>
      <c r="H56" s="44">
        <v>152100.0</v>
      </c>
      <c r="I56" s="44">
        <v>8100.0</v>
      </c>
      <c r="J56" s="44">
        <v>2200.0</v>
      </c>
      <c r="K56" s="44">
        <v>2500.0</v>
      </c>
      <c r="L56" s="44"/>
      <c r="M56" s="44"/>
      <c r="N56" s="44"/>
      <c r="O56" s="44"/>
      <c r="P56" s="44"/>
      <c r="Q56" s="44"/>
      <c r="R56" s="44"/>
      <c r="S56" s="44"/>
      <c r="T56" s="45">
        <v>2500.0</v>
      </c>
      <c r="U56" s="46">
        <v>451360.0</v>
      </c>
      <c r="V56" s="47">
        <f t="shared" si="1"/>
        <v>0.1761250555</v>
      </c>
    </row>
    <row r="57" ht="12.75" customHeight="1">
      <c r="A57" s="30" t="s">
        <v>114</v>
      </c>
      <c r="B57" s="43">
        <v>340.0</v>
      </c>
      <c r="C57" s="43"/>
      <c r="D57" s="44">
        <v>500.0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5">
        <v>0.0</v>
      </c>
      <c r="U57" s="46">
        <v>840.0</v>
      </c>
      <c r="V57" s="47">
        <f t="shared" si="1"/>
        <v>0.0003277761578</v>
      </c>
    </row>
    <row r="58" ht="12.75" customHeight="1">
      <c r="A58" s="30" t="s">
        <v>74</v>
      </c>
      <c r="B58" s="43"/>
      <c r="C58" s="43"/>
      <c r="D58" s="44"/>
      <c r="E58" s="44"/>
      <c r="F58" s="44"/>
      <c r="G58" s="44"/>
      <c r="H58" s="44">
        <v>500.0</v>
      </c>
      <c r="I58" s="44"/>
      <c r="J58" s="44"/>
      <c r="K58" s="44"/>
      <c r="L58" s="44"/>
      <c r="M58" s="44"/>
      <c r="N58" s="44"/>
      <c r="O58" s="44"/>
      <c r="P58" s="44"/>
      <c r="Q58" s="44"/>
      <c r="R58" s="44">
        <v>17000.0</v>
      </c>
      <c r="S58" s="44"/>
      <c r="T58" s="45">
        <v>39521.0</v>
      </c>
      <c r="U58" s="46">
        <v>57021.0</v>
      </c>
      <c r="V58" s="47">
        <f t="shared" si="1"/>
        <v>0.02225014797</v>
      </c>
    </row>
    <row r="59" ht="12.75" customHeight="1">
      <c r="A59" s="30" t="s">
        <v>75</v>
      </c>
      <c r="B59" s="43"/>
      <c r="C59" s="43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>
        <v>31800.0</v>
      </c>
      <c r="P59" s="44"/>
      <c r="Q59" s="44"/>
      <c r="R59" s="44"/>
      <c r="S59" s="44"/>
      <c r="T59" s="45">
        <v>0.0</v>
      </c>
      <c r="U59" s="46">
        <v>31800.0</v>
      </c>
      <c r="V59" s="47">
        <f t="shared" si="1"/>
        <v>0.01240866883</v>
      </c>
    </row>
    <row r="60" ht="12.75" customHeight="1">
      <c r="A60" s="30" t="s">
        <v>76</v>
      </c>
      <c r="B60" s="43"/>
      <c r="C60" s="43"/>
      <c r="D60" s="44"/>
      <c r="E60" s="44"/>
      <c r="F60" s="44"/>
      <c r="G60" s="44"/>
      <c r="H60" s="44">
        <v>98320.0</v>
      </c>
      <c r="I60" s="44"/>
      <c r="J60" s="44">
        <v>2400.0</v>
      </c>
      <c r="K60" s="44"/>
      <c r="L60" s="44"/>
      <c r="M60" s="44"/>
      <c r="N60" s="44"/>
      <c r="O60" s="44"/>
      <c r="P60" s="44"/>
      <c r="Q60" s="44"/>
      <c r="R60" s="44"/>
      <c r="S60" s="44"/>
      <c r="T60" s="45">
        <v>300.0</v>
      </c>
      <c r="U60" s="46">
        <v>101020.0</v>
      </c>
      <c r="V60" s="47">
        <f t="shared" si="1"/>
        <v>0.03941898508</v>
      </c>
      <c r="W60" s="49"/>
      <c r="X60" s="49"/>
      <c r="Y60" s="49"/>
    </row>
    <row r="61" ht="12.75" customHeight="1">
      <c r="A61" s="33" t="s">
        <v>78</v>
      </c>
      <c r="B61" s="48"/>
      <c r="C61" s="48"/>
      <c r="D61" s="45"/>
      <c r="E61" s="45"/>
      <c r="F61" s="45"/>
      <c r="G61" s="45"/>
      <c r="H61" s="45"/>
      <c r="I61" s="45"/>
      <c r="J61" s="45"/>
      <c r="K61" s="45"/>
      <c r="L61" s="45"/>
      <c r="M61" s="45">
        <v>4000.0</v>
      </c>
      <c r="N61" s="45"/>
      <c r="O61" s="45">
        <v>8000.0</v>
      </c>
      <c r="P61" s="45"/>
      <c r="Q61" s="45"/>
      <c r="R61" s="45">
        <v>178160.0</v>
      </c>
      <c r="S61" s="45">
        <v>732281.0</v>
      </c>
      <c r="T61" s="45">
        <v>19572.0</v>
      </c>
      <c r="U61" s="50">
        <v>942013.0</v>
      </c>
      <c r="V61" s="51">
        <f t="shared" si="1"/>
        <v>0.3675826211</v>
      </c>
      <c r="W61" s="35"/>
      <c r="X61" s="35"/>
      <c r="Y61" s="35"/>
    </row>
    <row r="62" ht="12.75" customHeight="1">
      <c r="A62" s="30" t="s">
        <v>79</v>
      </c>
      <c r="B62" s="43"/>
      <c r="C62" s="43">
        <v>34900.0</v>
      </c>
      <c r="D62" s="44"/>
      <c r="E62" s="44">
        <v>1100.0</v>
      </c>
      <c r="F62" s="44"/>
      <c r="G62" s="44"/>
      <c r="H62" s="44"/>
      <c r="I62" s="44"/>
      <c r="J62" s="44"/>
      <c r="K62" s="44"/>
      <c r="L62" s="44">
        <v>212000.0</v>
      </c>
      <c r="M62" s="44"/>
      <c r="N62" s="44"/>
      <c r="O62" s="44">
        <v>380.0</v>
      </c>
      <c r="P62" s="44"/>
      <c r="Q62" s="44"/>
      <c r="R62" s="44">
        <v>1252400.0</v>
      </c>
      <c r="S62" s="44">
        <v>7800.0</v>
      </c>
      <c r="T62" s="45">
        <v>6000.0</v>
      </c>
      <c r="U62" s="46">
        <v>1514580.0</v>
      </c>
      <c r="V62" s="47">
        <f t="shared" si="1"/>
        <v>0.5910038251</v>
      </c>
    </row>
    <row r="63" ht="12.75" customHeight="1">
      <c r="A63" s="33" t="s">
        <v>81</v>
      </c>
      <c r="B63" s="48"/>
      <c r="C63" s="48"/>
      <c r="D63" s="45"/>
      <c r="E63" s="44"/>
      <c r="F63" s="44"/>
      <c r="G63" s="44">
        <v>2000.0</v>
      </c>
      <c r="H63" s="44"/>
      <c r="I63" s="44"/>
      <c r="J63" s="44"/>
      <c r="K63" s="44">
        <v>19950.0</v>
      </c>
      <c r="L63" s="44"/>
      <c r="M63" s="44"/>
      <c r="N63" s="44">
        <v>1675.0</v>
      </c>
      <c r="O63" s="44"/>
      <c r="P63" s="44"/>
      <c r="Q63" s="44"/>
      <c r="R63" s="44">
        <v>3030075.0</v>
      </c>
      <c r="S63" s="44"/>
      <c r="T63" s="45">
        <v>3750.0</v>
      </c>
      <c r="U63" s="46">
        <v>3057450.0</v>
      </c>
      <c r="V63" s="47">
        <f t="shared" si="1"/>
        <v>1.193046683</v>
      </c>
      <c r="W63" s="35"/>
      <c r="X63" s="35"/>
      <c r="Y63" s="35"/>
    </row>
    <row r="64" ht="12.75" customHeight="1">
      <c r="A64" s="33" t="s">
        <v>83</v>
      </c>
      <c r="B64" s="48"/>
      <c r="C64" s="48"/>
      <c r="D64" s="45">
        <v>700.0</v>
      </c>
      <c r="E64" s="44"/>
      <c r="F64" s="44"/>
      <c r="G64" s="44"/>
      <c r="H64" s="44"/>
      <c r="I64" s="44">
        <v>50.0</v>
      </c>
      <c r="J64" s="44"/>
      <c r="K64" s="44"/>
      <c r="L64" s="44"/>
      <c r="M64" s="44"/>
      <c r="N64" s="44"/>
      <c r="O64" s="44"/>
      <c r="P64" s="44"/>
      <c r="Q64" s="44">
        <v>4000.0</v>
      </c>
      <c r="R64" s="44">
        <v>107810.0</v>
      </c>
      <c r="S64" s="44">
        <v>1300.0</v>
      </c>
      <c r="T64" s="45">
        <v>0.0</v>
      </c>
      <c r="U64" s="46">
        <v>113860.0</v>
      </c>
      <c r="V64" s="47">
        <f t="shared" si="1"/>
        <v>0.04442927777</v>
      </c>
      <c r="W64" s="35"/>
      <c r="X64" s="35"/>
      <c r="Y64" s="35"/>
    </row>
    <row r="65" ht="12.75" customHeight="1">
      <c r="A65" s="30" t="s">
        <v>84</v>
      </c>
      <c r="B65" s="43"/>
      <c r="C65" s="43">
        <v>25325.0</v>
      </c>
      <c r="D65" s="44">
        <v>88925.0</v>
      </c>
      <c r="E65" s="44">
        <v>500.0</v>
      </c>
      <c r="F65" s="44"/>
      <c r="G65" s="44">
        <v>5000.0</v>
      </c>
      <c r="H65" s="44">
        <v>500.0</v>
      </c>
      <c r="I65" s="44">
        <v>5850.0</v>
      </c>
      <c r="J65" s="44">
        <v>1800.0</v>
      </c>
      <c r="K65" s="44"/>
      <c r="L65" s="44">
        <v>12275.0</v>
      </c>
      <c r="M65" s="44">
        <v>9200.0</v>
      </c>
      <c r="N65" s="44"/>
      <c r="O65" s="44">
        <v>188450.0</v>
      </c>
      <c r="P65" s="44"/>
      <c r="Q65" s="44">
        <v>8500.0</v>
      </c>
      <c r="R65" s="44">
        <v>781985.0</v>
      </c>
      <c r="S65" s="44">
        <v>2800.0</v>
      </c>
      <c r="T65" s="45">
        <v>272075.0</v>
      </c>
      <c r="U65" s="46">
        <v>1403185.0</v>
      </c>
      <c r="V65" s="47">
        <f t="shared" si="1"/>
        <v>0.5475364143</v>
      </c>
    </row>
    <row r="66" ht="12.75" customHeight="1">
      <c r="A66" s="30" t="s">
        <v>85</v>
      </c>
      <c r="B66" s="43"/>
      <c r="C66" s="43"/>
      <c r="D66" s="44"/>
      <c r="E66" s="44">
        <v>150.0</v>
      </c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>
        <v>89980.0</v>
      </c>
      <c r="S66" s="44">
        <v>600.0</v>
      </c>
      <c r="T66" s="45">
        <v>300.0</v>
      </c>
      <c r="U66" s="46">
        <v>91030.0</v>
      </c>
      <c r="V66" s="47">
        <f t="shared" si="1"/>
        <v>0.03552079006</v>
      </c>
    </row>
    <row r="67" ht="12.75" customHeight="1">
      <c r="A67" s="30" t="s">
        <v>86</v>
      </c>
      <c r="B67" s="43"/>
      <c r="C67" s="43"/>
      <c r="D67" s="44">
        <v>146320.0</v>
      </c>
      <c r="E67" s="44">
        <v>1700.0</v>
      </c>
      <c r="F67" s="44">
        <v>1138375.0</v>
      </c>
      <c r="G67" s="44"/>
      <c r="H67" s="44"/>
      <c r="I67" s="44">
        <v>1664300.0</v>
      </c>
      <c r="J67" s="44">
        <v>1000.0</v>
      </c>
      <c r="K67" s="44"/>
      <c r="L67" s="44"/>
      <c r="M67" s="44"/>
      <c r="N67" s="44"/>
      <c r="O67" s="44"/>
      <c r="P67" s="44"/>
      <c r="Q67" s="44">
        <v>870500.0</v>
      </c>
      <c r="R67" s="44">
        <v>945880.0</v>
      </c>
      <c r="S67" s="44">
        <v>700.0</v>
      </c>
      <c r="T67" s="45">
        <v>900000.0</v>
      </c>
      <c r="U67" s="46">
        <v>5668775.0</v>
      </c>
      <c r="V67" s="47">
        <f t="shared" si="1"/>
        <v>2.212011058</v>
      </c>
    </row>
    <row r="68" ht="12.75" customHeight="1">
      <c r="A68" s="30" t="s">
        <v>87</v>
      </c>
      <c r="B68" s="43"/>
      <c r="C68" s="43"/>
      <c r="D68" s="44">
        <v>12000.0</v>
      </c>
      <c r="E68" s="44">
        <v>10000.0</v>
      </c>
      <c r="F68" s="44"/>
      <c r="G68" s="44">
        <v>21000.0</v>
      </c>
      <c r="H68" s="44"/>
      <c r="I68" s="44">
        <v>2000.0</v>
      </c>
      <c r="J68" s="44"/>
      <c r="K68" s="44"/>
      <c r="L68" s="44"/>
      <c r="M68" s="44"/>
      <c r="N68" s="44"/>
      <c r="O68" s="44"/>
      <c r="P68" s="44"/>
      <c r="Q68" s="44"/>
      <c r="R68" s="44">
        <v>2319230.0</v>
      </c>
      <c r="S68" s="44">
        <v>3550.0</v>
      </c>
      <c r="T68" s="45">
        <v>0.0</v>
      </c>
      <c r="U68" s="46">
        <v>2367780.0</v>
      </c>
      <c r="V68" s="47">
        <f t="shared" si="1"/>
        <v>0.9239307512</v>
      </c>
    </row>
    <row r="69" ht="12.75" customHeight="1">
      <c r="A69" s="30" t="s">
        <v>88</v>
      </c>
      <c r="B69" s="43">
        <v>100.0</v>
      </c>
      <c r="C69" s="43"/>
      <c r="D69" s="44">
        <v>2000.0</v>
      </c>
      <c r="E69" s="44">
        <v>100.0</v>
      </c>
      <c r="F69" s="44">
        <v>1000.0</v>
      </c>
      <c r="G69" s="44"/>
      <c r="H69" s="44"/>
      <c r="I69" s="44">
        <v>60175.0</v>
      </c>
      <c r="J69" s="44"/>
      <c r="K69" s="44"/>
      <c r="L69" s="44"/>
      <c r="M69" s="44"/>
      <c r="N69" s="44"/>
      <c r="O69" s="44"/>
      <c r="P69" s="44">
        <v>10000.0</v>
      </c>
      <c r="Q69" s="44">
        <v>27000.0</v>
      </c>
      <c r="R69" s="44">
        <v>83450.0</v>
      </c>
      <c r="S69" s="44">
        <v>500.0</v>
      </c>
      <c r="T69" s="45">
        <v>111500.0</v>
      </c>
      <c r="U69" s="46">
        <v>295825.0</v>
      </c>
      <c r="V69" s="47">
        <f t="shared" si="1"/>
        <v>0.115433788</v>
      </c>
    </row>
    <row r="70" ht="12.75" customHeight="1">
      <c r="A70" s="30" t="s">
        <v>115</v>
      </c>
      <c r="B70" s="43"/>
      <c r="C70" s="43">
        <v>6000.0</v>
      </c>
      <c r="D70" s="44"/>
      <c r="E70" s="44"/>
      <c r="F70" s="44">
        <v>1000.0</v>
      </c>
      <c r="G70" s="44"/>
      <c r="H70" s="44"/>
      <c r="I70" s="44">
        <v>2800.0</v>
      </c>
      <c r="J70" s="44"/>
      <c r="K70" s="44"/>
      <c r="L70" s="44"/>
      <c r="M70" s="44"/>
      <c r="N70" s="44"/>
      <c r="O70" s="44">
        <v>16500.0</v>
      </c>
      <c r="P70" s="44"/>
      <c r="Q70" s="44"/>
      <c r="R70" s="44">
        <v>98810.0</v>
      </c>
      <c r="S70" s="44">
        <v>300.0</v>
      </c>
      <c r="T70" s="45">
        <v>14000.0</v>
      </c>
      <c r="U70" s="46">
        <v>139410.0</v>
      </c>
      <c r="V70" s="47">
        <f t="shared" si="1"/>
        <v>0.05439913591</v>
      </c>
    </row>
    <row r="71" ht="12.75" customHeight="1">
      <c r="A71" s="30" t="s">
        <v>89</v>
      </c>
      <c r="B71" s="43">
        <v>50.0</v>
      </c>
      <c r="C71" s="43"/>
      <c r="D71" s="44"/>
      <c r="E71" s="44"/>
      <c r="F71" s="44"/>
      <c r="G71" s="44">
        <v>11000.0</v>
      </c>
      <c r="H71" s="44"/>
      <c r="I71" s="44">
        <v>200.0</v>
      </c>
      <c r="J71" s="44"/>
      <c r="K71" s="44"/>
      <c r="L71" s="44"/>
      <c r="M71" s="44"/>
      <c r="N71" s="44"/>
      <c r="O71" s="44"/>
      <c r="P71" s="44"/>
      <c r="Q71" s="44"/>
      <c r="R71" s="44">
        <v>81665.0</v>
      </c>
      <c r="S71" s="44">
        <v>280.0</v>
      </c>
      <c r="T71" s="45">
        <v>0.0</v>
      </c>
      <c r="U71" s="46">
        <v>93195.0</v>
      </c>
      <c r="V71" s="47">
        <f t="shared" si="1"/>
        <v>0.03636559408</v>
      </c>
    </row>
    <row r="72" ht="12.75" customHeight="1">
      <c r="A72" s="30" t="s">
        <v>91</v>
      </c>
      <c r="B72" s="43">
        <v>105400.0</v>
      </c>
      <c r="C72" s="43">
        <v>658860.0</v>
      </c>
      <c r="D72" s="44">
        <v>951890.0</v>
      </c>
      <c r="E72" s="44">
        <v>1505.0</v>
      </c>
      <c r="F72" s="44">
        <v>1050.0</v>
      </c>
      <c r="G72" s="44">
        <v>64480.0</v>
      </c>
      <c r="H72" s="44">
        <v>490410.0</v>
      </c>
      <c r="I72" s="44">
        <v>1252345.0</v>
      </c>
      <c r="J72" s="44">
        <v>947169.0</v>
      </c>
      <c r="K72" s="44">
        <v>505405.0</v>
      </c>
      <c r="L72" s="44">
        <v>18000.0</v>
      </c>
      <c r="M72" s="44">
        <v>605895.0</v>
      </c>
      <c r="N72" s="44">
        <v>11080.0</v>
      </c>
      <c r="O72" s="44">
        <v>8500.0</v>
      </c>
      <c r="P72" s="44">
        <v>800.0</v>
      </c>
      <c r="Q72" s="44">
        <v>3000.0</v>
      </c>
      <c r="R72" s="44">
        <v>592443.7</v>
      </c>
      <c r="S72" s="44"/>
      <c r="T72" s="45">
        <v>71860.0</v>
      </c>
      <c r="U72" s="46">
        <v>6290093.0</v>
      </c>
      <c r="V72" s="47">
        <f t="shared" si="1"/>
        <v>2.454455376</v>
      </c>
    </row>
    <row r="73" ht="12.75" customHeight="1">
      <c r="A73" s="30" t="s">
        <v>92</v>
      </c>
      <c r="B73" s="43">
        <v>1500.0</v>
      </c>
      <c r="C73" s="43">
        <v>248535.0</v>
      </c>
      <c r="D73" s="44">
        <v>117900.0</v>
      </c>
      <c r="E73" s="44"/>
      <c r="F73" s="44">
        <v>11500.0</v>
      </c>
      <c r="G73" s="44">
        <v>169460.0</v>
      </c>
      <c r="H73" s="44"/>
      <c r="I73" s="44">
        <v>150100.0</v>
      </c>
      <c r="J73" s="44"/>
      <c r="K73" s="44">
        <v>97555.0</v>
      </c>
      <c r="L73" s="44">
        <v>6800.0</v>
      </c>
      <c r="M73" s="44">
        <v>3800.0</v>
      </c>
      <c r="N73" s="44">
        <v>50300.0</v>
      </c>
      <c r="O73" s="44">
        <v>4700.0</v>
      </c>
      <c r="P73" s="44">
        <v>6500.0</v>
      </c>
      <c r="Q73" s="44">
        <v>21700.0</v>
      </c>
      <c r="R73" s="44">
        <v>151270.0</v>
      </c>
      <c r="S73" s="44"/>
      <c r="T73" s="45">
        <v>57000.0</v>
      </c>
      <c r="U73" s="46">
        <v>1098620.0</v>
      </c>
      <c r="V73" s="47">
        <f t="shared" si="1"/>
        <v>0.4286921935</v>
      </c>
    </row>
    <row r="74" ht="12.75" customHeight="1">
      <c r="A74" s="30" t="s">
        <v>93</v>
      </c>
      <c r="B74" s="43"/>
      <c r="C74" s="43">
        <v>2000.0</v>
      </c>
      <c r="D74" s="44">
        <v>1600.0</v>
      </c>
      <c r="E74" s="44"/>
      <c r="F74" s="44"/>
      <c r="G74" s="44"/>
      <c r="H74" s="44">
        <v>30.0</v>
      </c>
      <c r="I74" s="44">
        <v>2160.0</v>
      </c>
      <c r="J74" s="44"/>
      <c r="K74" s="44"/>
      <c r="L74" s="44"/>
      <c r="M74" s="44">
        <v>4500.0</v>
      </c>
      <c r="N74" s="44"/>
      <c r="O74" s="44"/>
      <c r="P74" s="44"/>
      <c r="Q74" s="44"/>
      <c r="R74" s="44">
        <v>83940.0</v>
      </c>
      <c r="S74" s="44"/>
      <c r="T74" s="45">
        <v>1400.0</v>
      </c>
      <c r="U74" s="46">
        <v>95630.0</v>
      </c>
      <c r="V74" s="47">
        <f t="shared" si="1"/>
        <v>0.03731575473</v>
      </c>
    </row>
    <row r="75" ht="12.75" customHeight="1">
      <c r="A75" s="30" t="s">
        <v>94</v>
      </c>
      <c r="B75" s="43"/>
      <c r="C75" s="43">
        <v>2200.0</v>
      </c>
      <c r="D75" s="44">
        <v>12050.0</v>
      </c>
      <c r="E75" s="44"/>
      <c r="F75" s="44"/>
      <c r="G75" s="44"/>
      <c r="H75" s="44">
        <v>6410.0</v>
      </c>
      <c r="I75" s="44"/>
      <c r="J75" s="44"/>
      <c r="K75" s="44">
        <v>1000.0</v>
      </c>
      <c r="L75" s="44"/>
      <c r="M75" s="44"/>
      <c r="N75" s="44"/>
      <c r="O75" s="44"/>
      <c r="P75" s="44"/>
      <c r="Q75" s="44"/>
      <c r="R75" s="44">
        <v>600.0</v>
      </c>
      <c r="S75" s="44">
        <v>8540.0</v>
      </c>
      <c r="T75" s="45">
        <v>0.0</v>
      </c>
      <c r="U75" s="46">
        <v>30800.0</v>
      </c>
      <c r="V75" s="47">
        <f t="shared" si="1"/>
        <v>0.01201845912</v>
      </c>
    </row>
    <row r="76" ht="12.75" customHeight="1">
      <c r="A76" s="30" t="s">
        <v>95</v>
      </c>
      <c r="B76" s="43">
        <v>100.0</v>
      </c>
      <c r="C76" s="43">
        <v>10800.0</v>
      </c>
      <c r="D76" s="44"/>
      <c r="E76" s="44">
        <v>400.0</v>
      </c>
      <c r="F76" s="44"/>
      <c r="G76" s="44"/>
      <c r="H76" s="44">
        <v>250.0</v>
      </c>
      <c r="I76" s="44"/>
      <c r="J76" s="44"/>
      <c r="K76" s="44"/>
      <c r="L76" s="44"/>
      <c r="M76" s="44"/>
      <c r="N76" s="44"/>
      <c r="O76" s="44"/>
      <c r="P76" s="44"/>
      <c r="Q76" s="44"/>
      <c r="R76" s="44">
        <v>629630.0</v>
      </c>
      <c r="S76" s="44">
        <v>5850.0</v>
      </c>
      <c r="T76" s="45">
        <v>5000.0</v>
      </c>
      <c r="U76" s="46">
        <v>652030.0</v>
      </c>
      <c r="V76" s="47">
        <f t="shared" si="1"/>
        <v>0.2544284383</v>
      </c>
    </row>
    <row r="77" ht="12.75" customHeight="1">
      <c r="A77" s="30" t="s">
        <v>96</v>
      </c>
      <c r="B77" s="43"/>
      <c r="C77" s="43"/>
      <c r="D77" s="44">
        <v>45600.0</v>
      </c>
      <c r="E77" s="44"/>
      <c r="F77" s="44"/>
      <c r="G77" s="44"/>
      <c r="H77" s="44">
        <v>1300.0</v>
      </c>
      <c r="I77" s="44">
        <v>3500.0</v>
      </c>
      <c r="J77" s="44"/>
      <c r="K77" s="44">
        <v>800.0</v>
      </c>
      <c r="L77" s="44"/>
      <c r="M77" s="44"/>
      <c r="N77" s="44"/>
      <c r="O77" s="44"/>
      <c r="P77" s="44"/>
      <c r="Q77" s="44"/>
      <c r="R77" s="44">
        <v>400.0</v>
      </c>
      <c r="S77" s="44"/>
      <c r="T77" s="45">
        <v>0.0</v>
      </c>
      <c r="U77" s="46">
        <v>51600.0</v>
      </c>
      <c r="V77" s="47">
        <f t="shared" si="1"/>
        <v>0.02013482112</v>
      </c>
    </row>
    <row r="78" ht="12.75" customHeight="1">
      <c r="A78" s="30" t="s">
        <v>97</v>
      </c>
      <c r="B78" s="43"/>
      <c r="C78" s="43"/>
      <c r="D78" s="44">
        <v>6000.0</v>
      </c>
      <c r="E78" s="44"/>
      <c r="F78" s="44"/>
      <c r="G78" s="44"/>
      <c r="H78" s="44">
        <v>7560.0</v>
      </c>
      <c r="I78" s="44">
        <v>1040.0</v>
      </c>
      <c r="J78" s="44"/>
      <c r="K78" s="44">
        <v>1000.0</v>
      </c>
      <c r="L78" s="44"/>
      <c r="M78" s="44"/>
      <c r="N78" s="44"/>
      <c r="O78" s="44"/>
      <c r="P78" s="44"/>
      <c r="Q78" s="44"/>
      <c r="R78" s="44"/>
      <c r="S78" s="44"/>
      <c r="T78" s="45">
        <v>0.0</v>
      </c>
      <c r="U78" s="46">
        <v>15600.0</v>
      </c>
      <c r="V78" s="47">
        <f t="shared" si="1"/>
        <v>0.006087271502</v>
      </c>
    </row>
    <row r="79" ht="12.75" customHeight="1">
      <c r="A79" s="30" t="s">
        <v>98</v>
      </c>
      <c r="B79" s="43"/>
      <c r="C79" s="43">
        <v>800.0</v>
      </c>
      <c r="D79" s="44">
        <v>16000.0</v>
      </c>
      <c r="E79" s="44"/>
      <c r="F79" s="44"/>
      <c r="G79" s="44"/>
      <c r="H79" s="44"/>
      <c r="I79" s="44"/>
      <c r="J79" s="44"/>
      <c r="K79" s="44"/>
      <c r="L79" s="44"/>
      <c r="M79" s="44">
        <v>2000.0</v>
      </c>
      <c r="N79" s="44">
        <v>4000.0</v>
      </c>
      <c r="O79" s="44"/>
      <c r="P79" s="44"/>
      <c r="Q79" s="44"/>
      <c r="R79" s="44">
        <v>46652.0</v>
      </c>
      <c r="S79" s="44">
        <v>2500.0</v>
      </c>
      <c r="T79" s="45">
        <v>0.0</v>
      </c>
      <c r="U79" s="46">
        <v>71952.0</v>
      </c>
      <c r="V79" s="47">
        <f t="shared" si="1"/>
        <v>0.02807636918</v>
      </c>
    </row>
    <row r="80" ht="12.75" customHeight="1">
      <c r="A80" s="30" t="s">
        <v>116</v>
      </c>
      <c r="B80" s="43"/>
      <c r="C80" s="43"/>
      <c r="D80" s="44"/>
      <c r="E80" s="44"/>
      <c r="F80" s="44"/>
      <c r="G80" s="44"/>
      <c r="H80" s="44"/>
      <c r="I80" s="44">
        <v>800.0</v>
      </c>
      <c r="J80" s="44"/>
      <c r="K80" s="44"/>
      <c r="L80" s="44"/>
      <c r="M80" s="44"/>
      <c r="N80" s="44"/>
      <c r="O80" s="44"/>
      <c r="P80" s="44"/>
      <c r="Q80" s="44"/>
      <c r="R80" s="44">
        <v>900.0</v>
      </c>
      <c r="S80" s="44"/>
      <c r="T80" s="45">
        <v>0.0</v>
      </c>
      <c r="U80" s="46">
        <v>1700.0</v>
      </c>
      <c r="V80" s="47">
        <f t="shared" si="1"/>
        <v>0.0006633565099</v>
      </c>
    </row>
    <row r="81" ht="12.75" customHeight="1">
      <c r="A81" s="33" t="s">
        <v>99</v>
      </c>
      <c r="B81" s="48">
        <v>10000.0</v>
      </c>
      <c r="C81" s="48">
        <v>14400.0</v>
      </c>
      <c r="D81" s="45">
        <v>418400.0</v>
      </c>
      <c r="E81" s="45">
        <v>350.0</v>
      </c>
      <c r="F81" s="45">
        <v>12300.0</v>
      </c>
      <c r="G81" s="45"/>
      <c r="H81" s="45">
        <v>18790.0</v>
      </c>
      <c r="I81" s="45">
        <v>37900.0</v>
      </c>
      <c r="J81" s="45">
        <v>112490.0</v>
      </c>
      <c r="K81" s="45">
        <v>245970.0</v>
      </c>
      <c r="L81" s="45">
        <v>7500.0</v>
      </c>
      <c r="M81" s="45">
        <v>1652290.0</v>
      </c>
      <c r="N81" s="45"/>
      <c r="O81" s="45">
        <v>6000.0</v>
      </c>
      <c r="P81" s="45"/>
      <c r="Q81" s="45"/>
      <c r="R81" s="45">
        <v>10000.0</v>
      </c>
      <c r="S81" s="45"/>
      <c r="T81" s="45">
        <v>168360.0</v>
      </c>
      <c r="U81" s="50">
        <v>2714750.0</v>
      </c>
      <c r="V81" s="51">
        <f t="shared" si="1"/>
        <v>1.059321815</v>
      </c>
      <c r="W81" s="35"/>
      <c r="X81" s="35"/>
      <c r="Y81" s="35"/>
    </row>
    <row r="82" ht="12.75" customHeight="1">
      <c r="A82" s="33" t="s">
        <v>100</v>
      </c>
      <c r="B82" s="48"/>
      <c r="C82" s="48">
        <v>2000.0</v>
      </c>
      <c r="D82" s="45">
        <v>2700.0</v>
      </c>
      <c r="E82" s="45"/>
      <c r="F82" s="45"/>
      <c r="G82" s="45">
        <v>160.0</v>
      </c>
      <c r="H82" s="45">
        <v>7720.0</v>
      </c>
      <c r="I82" s="45">
        <v>400.0</v>
      </c>
      <c r="J82" s="45"/>
      <c r="K82" s="45"/>
      <c r="L82" s="45"/>
      <c r="M82" s="45">
        <v>1000.0</v>
      </c>
      <c r="N82" s="45">
        <v>800.0</v>
      </c>
      <c r="O82" s="45"/>
      <c r="P82" s="45"/>
      <c r="Q82" s="45"/>
      <c r="R82" s="45">
        <v>54280.0</v>
      </c>
      <c r="S82" s="45"/>
      <c r="T82" s="45">
        <v>0.0</v>
      </c>
      <c r="U82" s="50">
        <v>69060.0</v>
      </c>
      <c r="V82" s="47">
        <f t="shared" si="1"/>
        <v>0.02694788269</v>
      </c>
      <c r="W82" s="35"/>
      <c r="X82" s="35"/>
      <c r="Y82" s="35"/>
    </row>
    <row r="83" ht="12.75" customHeight="1">
      <c r="A83" s="30" t="s">
        <v>101</v>
      </c>
      <c r="B83" s="43">
        <v>56230.0</v>
      </c>
      <c r="C83" s="43">
        <v>132720.0</v>
      </c>
      <c r="D83" s="44">
        <v>152660.0</v>
      </c>
      <c r="E83" s="44">
        <v>9000.0</v>
      </c>
      <c r="F83" s="44">
        <v>1000.0</v>
      </c>
      <c r="G83" s="44">
        <v>381000.0</v>
      </c>
      <c r="H83" s="44">
        <v>27730.0</v>
      </c>
      <c r="I83" s="44">
        <v>197990.0</v>
      </c>
      <c r="J83" s="44">
        <v>5700.0</v>
      </c>
      <c r="K83" s="44">
        <v>154730.0</v>
      </c>
      <c r="L83" s="44"/>
      <c r="M83" s="44">
        <v>101580.0</v>
      </c>
      <c r="N83" s="44">
        <v>224820.0</v>
      </c>
      <c r="O83" s="44">
        <v>32300.0</v>
      </c>
      <c r="P83" s="44">
        <v>90.0</v>
      </c>
      <c r="Q83" s="44"/>
      <c r="R83" s="44">
        <v>2530310.0</v>
      </c>
      <c r="S83" s="44"/>
      <c r="T83" s="45">
        <v>42660.0</v>
      </c>
      <c r="U83" s="46">
        <v>4050520.0</v>
      </c>
      <c r="V83" s="47">
        <f t="shared" si="1"/>
        <v>1.580552241</v>
      </c>
      <c r="W83" s="49"/>
      <c r="X83" s="49"/>
      <c r="Y83" s="49"/>
    </row>
    <row r="84" ht="12.75" customHeight="1">
      <c r="A84" s="30" t="s">
        <v>102</v>
      </c>
      <c r="B84" s="43"/>
      <c r="C84" s="43">
        <v>475545.0</v>
      </c>
      <c r="D84" s="44">
        <v>47300.0</v>
      </c>
      <c r="E84" s="44"/>
      <c r="F84" s="44">
        <v>2000.0</v>
      </c>
      <c r="G84" s="44">
        <v>22200.0</v>
      </c>
      <c r="H84" s="44">
        <v>5700.0</v>
      </c>
      <c r="I84" s="44">
        <v>308050.0</v>
      </c>
      <c r="J84" s="44">
        <v>1500.0</v>
      </c>
      <c r="K84" s="44">
        <v>62325.0</v>
      </c>
      <c r="L84" s="44"/>
      <c r="M84" s="44">
        <v>8900.0</v>
      </c>
      <c r="N84" s="44">
        <v>17700.0</v>
      </c>
      <c r="O84" s="44">
        <v>10000.0</v>
      </c>
      <c r="P84" s="44"/>
      <c r="Q84" s="44"/>
      <c r="R84" s="44">
        <v>754600.0</v>
      </c>
      <c r="S84" s="44"/>
      <c r="T84" s="45">
        <v>14000.0</v>
      </c>
      <c r="U84" s="46">
        <v>1729820.0</v>
      </c>
      <c r="V84" s="47">
        <f t="shared" si="1"/>
        <v>0.6749925635</v>
      </c>
    </row>
    <row r="85" ht="12.75" customHeight="1">
      <c r="A85" s="33" t="s">
        <v>103</v>
      </c>
      <c r="B85" s="48">
        <v>126050.0</v>
      </c>
      <c r="C85" s="48"/>
      <c r="D85" s="45">
        <v>14700.0</v>
      </c>
      <c r="E85" s="45"/>
      <c r="F85" s="45"/>
      <c r="G85" s="45"/>
      <c r="H85" s="45">
        <v>16250.0</v>
      </c>
      <c r="I85" s="45">
        <v>61286.0</v>
      </c>
      <c r="J85" s="45">
        <v>1300.0</v>
      </c>
      <c r="K85" s="45">
        <v>2000.0</v>
      </c>
      <c r="L85" s="45"/>
      <c r="M85" s="45">
        <v>15200.0</v>
      </c>
      <c r="N85" s="45">
        <v>3000.0</v>
      </c>
      <c r="O85" s="45">
        <v>2000.0</v>
      </c>
      <c r="P85" s="45">
        <v>1650.0</v>
      </c>
      <c r="Q85" s="45">
        <v>2000.0</v>
      </c>
      <c r="R85" s="45">
        <v>45500.0</v>
      </c>
      <c r="S85" s="45"/>
      <c r="T85" s="45">
        <v>4500.0</v>
      </c>
      <c r="U85" s="50">
        <v>295436.0</v>
      </c>
      <c r="V85" s="47">
        <f t="shared" si="1"/>
        <v>0.1152819964</v>
      </c>
      <c r="W85" s="35"/>
      <c r="X85" s="35"/>
      <c r="Y85" s="35"/>
    </row>
    <row r="86" ht="12.75" customHeight="1">
      <c r="A86" s="33" t="s">
        <v>104</v>
      </c>
      <c r="B86" s="48">
        <v>130810.0</v>
      </c>
      <c r="C86" s="48">
        <v>7518.0</v>
      </c>
      <c r="D86" s="45">
        <v>41952.0</v>
      </c>
      <c r="E86" s="44"/>
      <c r="F86" s="44"/>
      <c r="G86" s="44"/>
      <c r="H86" s="44">
        <v>20350.0</v>
      </c>
      <c r="I86" s="44">
        <v>9100.0</v>
      </c>
      <c r="J86" s="44">
        <v>30360.0</v>
      </c>
      <c r="K86" s="44">
        <v>97360.0</v>
      </c>
      <c r="L86" s="44"/>
      <c r="M86" s="44">
        <v>2100.0</v>
      </c>
      <c r="N86" s="44">
        <v>40350.0</v>
      </c>
      <c r="O86" s="44"/>
      <c r="P86" s="44"/>
      <c r="Q86" s="44"/>
      <c r="R86" s="44">
        <v>14100.0</v>
      </c>
      <c r="S86" s="44"/>
      <c r="T86" s="45">
        <v>13800.0</v>
      </c>
      <c r="U86" s="46">
        <v>407800.0</v>
      </c>
      <c r="V86" s="47">
        <f t="shared" si="1"/>
        <v>0.1591275204</v>
      </c>
      <c r="W86" s="35"/>
      <c r="X86" s="35"/>
      <c r="Y86" s="35"/>
    </row>
    <row r="87" ht="12.75" customHeight="1">
      <c r="A87" s="33" t="s">
        <v>105</v>
      </c>
      <c r="B87" s="48">
        <v>1000.0</v>
      </c>
      <c r="C87" s="48"/>
      <c r="D87" s="45">
        <v>3000.0</v>
      </c>
      <c r="E87" s="44"/>
      <c r="F87" s="44"/>
      <c r="G87" s="44"/>
      <c r="H87" s="44">
        <v>500.0</v>
      </c>
      <c r="I87" s="44"/>
      <c r="J87" s="44"/>
      <c r="K87" s="44"/>
      <c r="L87" s="44"/>
      <c r="M87" s="44"/>
      <c r="N87" s="44">
        <v>2800.0</v>
      </c>
      <c r="O87" s="44"/>
      <c r="P87" s="44"/>
      <c r="Q87" s="44"/>
      <c r="R87" s="44">
        <v>26200.0</v>
      </c>
      <c r="S87" s="44">
        <v>645200.0</v>
      </c>
      <c r="T87" s="45">
        <v>0.0</v>
      </c>
      <c r="U87" s="46">
        <v>678700.0</v>
      </c>
      <c r="V87" s="47">
        <f t="shared" si="1"/>
        <v>0.2648353313</v>
      </c>
      <c r="W87" s="35"/>
      <c r="X87" s="35"/>
      <c r="Y87" s="35"/>
    </row>
    <row r="88" ht="12.75" customHeight="1">
      <c r="A88" s="30" t="s">
        <v>106</v>
      </c>
      <c r="B88" s="43">
        <v>5000.0</v>
      </c>
      <c r="C88" s="43"/>
      <c r="D88" s="44">
        <v>10200.0</v>
      </c>
      <c r="E88" s="44">
        <v>3500.0</v>
      </c>
      <c r="F88" s="44"/>
      <c r="G88" s="44"/>
      <c r="H88" s="44">
        <v>12750.0</v>
      </c>
      <c r="I88" s="44">
        <v>123400.0</v>
      </c>
      <c r="J88" s="44">
        <v>500.0</v>
      </c>
      <c r="K88" s="44">
        <v>86800.0</v>
      </c>
      <c r="L88" s="44"/>
      <c r="M88" s="44">
        <v>11250.0</v>
      </c>
      <c r="N88" s="44">
        <v>2500.0</v>
      </c>
      <c r="O88" s="44"/>
      <c r="P88" s="44"/>
      <c r="Q88" s="44"/>
      <c r="R88" s="44">
        <v>51550.0</v>
      </c>
      <c r="S88" s="44"/>
      <c r="T88" s="45">
        <v>54300.0</v>
      </c>
      <c r="U88" s="46">
        <v>361750.0</v>
      </c>
      <c r="V88" s="47">
        <f t="shared" si="1"/>
        <v>0.1411583632</v>
      </c>
    </row>
    <row r="89" ht="12.75" customHeight="1">
      <c r="A89" s="30" t="s">
        <v>107</v>
      </c>
      <c r="B89" s="43"/>
      <c r="C89" s="43"/>
      <c r="D89" s="44"/>
      <c r="E89" s="44"/>
      <c r="F89" s="44"/>
      <c r="G89" s="44"/>
      <c r="H89" s="44"/>
      <c r="I89" s="44">
        <v>1000.0</v>
      </c>
      <c r="J89" s="44"/>
      <c r="K89" s="44"/>
      <c r="L89" s="44"/>
      <c r="M89" s="44">
        <v>2200.0</v>
      </c>
      <c r="N89" s="44"/>
      <c r="O89" s="44"/>
      <c r="P89" s="44"/>
      <c r="Q89" s="44"/>
      <c r="R89" s="44"/>
      <c r="S89" s="44"/>
      <c r="T89" s="45">
        <v>0.0</v>
      </c>
      <c r="U89" s="46">
        <v>3200.0</v>
      </c>
      <c r="V89" s="47">
        <f t="shared" si="1"/>
        <v>0.001248671077</v>
      </c>
    </row>
    <row r="90" ht="12.75" customHeight="1">
      <c r="A90" s="33" t="s">
        <v>108</v>
      </c>
      <c r="B90" s="48">
        <v>23740.0</v>
      </c>
      <c r="C90" s="48"/>
      <c r="D90" s="45"/>
      <c r="E90" s="44"/>
      <c r="F90" s="44"/>
      <c r="G90" s="44"/>
      <c r="H90" s="44">
        <v>330.0</v>
      </c>
      <c r="I90" s="44">
        <v>2000.0</v>
      </c>
      <c r="J90" s="44">
        <v>30.0</v>
      </c>
      <c r="K90" s="44"/>
      <c r="L90" s="44"/>
      <c r="M90" s="44"/>
      <c r="N90" s="44"/>
      <c r="O90" s="44"/>
      <c r="P90" s="44"/>
      <c r="Q90" s="44"/>
      <c r="R90" s="44">
        <v>4000.0</v>
      </c>
      <c r="S90" s="44"/>
      <c r="T90" s="45">
        <v>30.0</v>
      </c>
      <c r="U90" s="46">
        <v>30130.0</v>
      </c>
      <c r="V90" s="47">
        <f t="shared" si="1"/>
        <v>0.01175701861</v>
      </c>
      <c r="W90" s="35"/>
      <c r="X90" s="35"/>
      <c r="Y90" s="35"/>
    </row>
    <row r="91" ht="12.75" customHeight="1">
      <c r="A91" s="33" t="s">
        <v>109</v>
      </c>
      <c r="B91" s="48"/>
      <c r="C91" s="48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>
        <v>170000.0</v>
      </c>
      <c r="O91" s="45"/>
      <c r="P91" s="45"/>
      <c r="Q91" s="45"/>
      <c r="R91" s="45">
        <v>3460000.0</v>
      </c>
      <c r="S91" s="45"/>
      <c r="T91" s="45">
        <v>2000.0</v>
      </c>
      <c r="U91" s="50">
        <v>3632000.0</v>
      </c>
      <c r="V91" s="51">
        <f t="shared" si="1"/>
        <v>1.417241673</v>
      </c>
      <c r="W91" s="35"/>
      <c r="X91" s="35"/>
      <c r="Y91" s="35"/>
    </row>
    <row r="92" ht="12.75" customHeight="1">
      <c r="A92" s="30" t="s">
        <v>117</v>
      </c>
      <c r="B92" s="43">
        <v>15700.0</v>
      </c>
      <c r="C92" s="43">
        <v>5550.0</v>
      </c>
      <c r="D92" s="44">
        <v>85150.0</v>
      </c>
      <c r="E92" s="44">
        <v>1200.0</v>
      </c>
      <c r="F92" s="44"/>
      <c r="G92" s="44">
        <v>13000.0</v>
      </c>
      <c r="H92" s="44">
        <v>45825.0</v>
      </c>
      <c r="I92" s="44">
        <v>76500.0</v>
      </c>
      <c r="J92" s="44">
        <v>70800.0</v>
      </c>
      <c r="K92" s="44">
        <v>31450.0</v>
      </c>
      <c r="L92" s="44">
        <v>8000.0</v>
      </c>
      <c r="M92" s="44">
        <v>2600.0</v>
      </c>
      <c r="N92" s="44">
        <v>4000.0</v>
      </c>
      <c r="O92" s="44">
        <v>9000.0</v>
      </c>
      <c r="P92" s="44">
        <v>200.0</v>
      </c>
      <c r="Q92" s="44"/>
      <c r="R92" s="44">
        <v>166210.0</v>
      </c>
      <c r="S92" s="44">
        <v>100.0</v>
      </c>
      <c r="T92" s="45">
        <v>11900.0</v>
      </c>
      <c r="U92" s="46">
        <v>547185.0</v>
      </c>
      <c r="V92" s="47">
        <f t="shared" si="1"/>
        <v>0.2135169011</v>
      </c>
      <c r="W92" s="49"/>
      <c r="X92" s="49"/>
      <c r="Y92" s="49"/>
    </row>
    <row r="93" ht="12.75" customHeight="1">
      <c r="A93" s="30" t="s">
        <v>111</v>
      </c>
      <c r="B93" s="50">
        <f t="shared" ref="B93:T93" si="2">SUM(B2:B92)</f>
        <v>8989749</v>
      </c>
      <c r="C93" s="50">
        <f t="shared" si="2"/>
        <v>15123978</v>
      </c>
      <c r="D93" s="50">
        <f t="shared" si="2"/>
        <v>28863822</v>
      </c>
      <c r="E93" s="50">
        <f t="shared" si="2"/>
        <v>2637892</v>
      </c>
      <c r="F93" s="50">
        <f t="shared" si="2"/>
        <v>2001765</v>
      </c>
      <c r="G93" s="50">
        <f t="shared" si="2"/>
        <v>2653875</v>
      </c>
      <c r="H93" s="50">
        <f t="shared" si="2"/>
        <v>10144423</v>
      </c>
      <c r="I93" s="50">
        <f t="shared" si="2"/>
        <v>27071736</v>
      </c>
      <c r="J93" s="50">
        <f t="shared" si="2"/>
        <v>3552501</v>
      </c>
      <c r="K93" s="50">
        <f t="shared" si="2"/>
        <v>14056416</v>
      </c>
      <c r="L93" s="50">
        <f t="shared" si="2"/>
        <v>575548</v>
      </c>
      <c r="M93" s="50">
        <f t="shared" si="2"/>
        <v>5010799</v>
      </c>
      <c r="N93" s="50">
        <f t="shared" si="2"/>
        <v>2338680</v>
      </c>
      <c r="O93" s="50">
        <f t="shared" si="2"/>
        <v>10136906</v>
      </c>
      <c r="P93" s="50">
        <f t="shared" si="2"/>
        <v>3264528</v>
      </c>
      <c r="Q93" s="50">
        <f t="shared" si="2"/>
        <v>996930</v>
      </c>
      <c r="R93" s="50">
        <f t="shared" si="2"/>
        <v>112337012.7</v>
      </c>
      <c r="S93" s="50">
        <f t="shared" si="2"/>
        <v>1412301</v>
      </c>
      <c r="T93" s="50">
        <f t="shared" si="2"/>
        <v>5103591</v>
      </c>
      <c r="U93" s="46">
        <v>2.56272453E8</v>
      </c>
      <c r="V93" s="47"/>
      <c r="W93" s="35"/>
      <c r="X93" s="35"/>
      <c r="Y93" s="35"/>
    </row>
    <row r="94" ht="12.75" customHeight="1">
      <c r="A94" s="30" t="s">
        <v>137</v>
      </c>
      <c r="B94" s="51">
        <f t="shared" ref="B94:T94" si="3">B93/$U$93*100</f>
        <v>3.507887365</v>
      </c>
      <c r="C94" s="51">
        <f t="shared" si="3"/>
        <v>5.901523095</v>
      </c>
      <c r="D94" s="51">
        <f t="shared" si="3"/>
        <v>11.26294366</v>
      </c>
      <c r="E94" s="51">
        <f t="shared" si="3"/>
        <v>1.029331077</v>
      </c>
      <c r="F94" s="51">
        <f t="shared" si="3"/>
        <v>0.7811081435</v>
      </c>
      <c r="G94" s="51">
        <f t="shared" si="3"/>
        <v>1.035567799</v>
      </c>
      <c r="H94" s="51">
        <f t="shared" si="3"/>
        <v>3.958452374</v>
      </c>
      <c r="I94" s="51">
        <f t="shared" si="3"/>
        <v>10.5636543</v>
      </c>
      <c r="J94" s="51">
        <f t="shared" si="3"/>
        <v>1.386220391</v>
      </c>
      <c r="K94" s="51">
        <f t="shared" si="3"/>
        <v>5.484950035</v>
      </c>
      <c r="L94" s="51">
        <f t="shared" si="3"/>
        <v>0.2245844191</v>
      </c>
      <c r="M94" s="51">
        <f t="shared" si="3"/>
        <v>1.955262433</v>
      </c>
      <c r="N94" s="51">
        <f t="shared" si="3"/>
        <v>0.9125756485</v>
      </c>
      <c r="O94" s="51">
        <f t="shared" si="3"/>
        <v>3.955519168</v>
      </c>
      <c r="P94" s="51">
        <f t="shared" si="3"/>
        <v>1.27385053</v>
      </c>
      <c r="Q94" s="51">
        <f t="shared" si="3"/>
        <v>0.3890117679</v>
      </c>
      <c r="R94" s="51">
        <f t="shared" si="3"/>
        <v>43.83499334</v>
      </c>
      <c r="S94" s="51">
        <f t="shared" si="3"/>
        <v>0.551093566</v>
      </c>
      <c r="T94" s="51">
        <f t="shared" si="3"/>
        <v>1.991470773</v>
      </c>
      <c r="U94" s="51"/>
      <c r="V94" s="51"/>
    </row>
    <row r="95" ht="12.75" customHeight="1">
      <c r="T95" s="35"/>
    </row>
    <row r="96" ht="12.75" customHeight="1">
      <c r="T96" s="35"/>
      <c r="U96" s="52"/>
    </row>
    <row r="97" ht="12.75" customHeight="1">
      <c r="T97" s="35"/>
      <c r="U97" s="52"/>
    </row>
    <row r="98" ht="12.75" customHeight="1">
      <c r="N98" s="52"/>
      <c r="O98" s="52"/>
      <c r="P98" s="52"/>
      <c r="Q98" s="52"/>
      <c r="R98" s="52"/>
      <c r="S98" s="52"/>
      <c r="T98" s="53"/>
      <c r="U98" s="52"/>
      <c r="V98" s="52"/>
    </row>
    <row r="99" ht="12.75" customHeight="1">
      <c r="T99" s="35"/>
    </row>
    <row r="100" ht="12.75" customHeight="1">
      <c r="T100" s="35"/>
    </row>
    <row r="101" ht="12.75" customHeight="1">
      <c r="T101" s="35"/>
    </row>
    <row r="102" ht="12.75" customHeight="1">
      <c r="T102" s="35"/>
    </row>
    <row r="103" ht="12.75" customHeight="1">
      <c r="T103" s="35"/>
    </row>
    <row r="104" ht="12.75" customHeight="1">
      <c r="T104" s="35"/>
    </row>
    <row r="105" ht="12.75" customHeight="1">
      <c r="T105" s="35"/>
    </row>
    <row r="106" ht="12.75" customHeight="1">
      <c r="T106" s="35"/>
    </row>
    <row r="107" ht="12.75" customHeight="1">
      <c r="T107" s="35"/>
    </row>
    <row r="108" ht="12.75" customHeight="1">
      <c r="T108" s="35"/>
    </row>
    <row r="109" ht="12.75" customHeight="1">
      <c r="T109" s="35"/>
    </row>
    <row r="110" ht="12.75" customHeight="1">
      <c r="T110" s="35"/>
    </row>
    <row r="111" ht="12.75" customHeight="1">
      <c r="T111" s="35"/>
    </row>
    <row r="112" ht="12.75" customHeight="1">
      <c r="T112" s="35"/>
    </row>
    <row r="113" ht="12.75" customHeight="1">
      <c r="T113" s="35"/>
    </row>
    <row r="114" ht="12.75" customHeight="1">
      <c r="T114" s="35"/>
    </row>
    <row r="115" ht="12.75" customHeight="1">
      <c r="T115" s="35"/>
    </row>
    <row r="116" ht="12.75" customHeight="1">
      <c r="T116" s="35"/>
    </row>
    <row r="117" ht="12.75" customHeight="1">
      <c r="T117" s="35"/>
    </row>
    <row r="118" ht="12.75" customHeight="1">
      <c r="T118" s="35"/>
    </row>
    <row r="119" ht="12.75" customHeight="1">
      <c r="T119" s="35"/>
    </row>
    <row r="120" ht="12.75" customHeight="1">
      <c r="T120" s="35"/>
    </row>
    <row r="121" ht="12.75" customHeight="1">
      <c r="T121" s="35"/>
    </row>
    <row r="122" ht="12.75" customHeight="1">
      <c r="T122" s="35"/>
    </row>
    <row r="123" ht="12.75" customHeight="1">
      <c r="T123" s="35"/>
    </row>
    <row r="124" ht="12.75" customHeight="1">
      <c r="T124" s="35"/>
    </row>
    <row r="125" ht="12.75" customHeight="1">
      <c r="T125" s="35"/>
    </row>
    <row r="126" ht="12.75" customHeight="1">
      <c r="T126" s="35"/>
    </row>
    <row r="127" ht="12.75" customHeight="1">
      <c r="T127" s="35"/>
    </row>
    <row r="128" ht="12.75" customHeight="1">
      <c r="T128" s="35"/>
    </row>
    <row r="129" ht="12.75" customHeight="1">
      <c r="T129" s="35"/>
    </row>
    <row r="130" ht="12.75" customHeight="1">
      <c r="T130" s="35"/>
    </row>
    <row r="131" ht="12.75" customHeight="1">
      <c r="T131" s="35"/>
    </row>
    <row r="132" ht="12.75" customHeight="1">
      <c r="T132" s="35"/>
    </row>
    <row r="133" ht="12.75" customHeight="1">
      <c r="T133" s="35"/>
    </row>
    <row r="134" ht="12.75" customHeight="1">
      <c r="T134" s="35"/>
    </row>
    <row r="135" ht="12.75" customHeight="1">
      <c r="T135" s="35"/>
    </row>
    <row r="136" ht="12.75" customHeight="1">
      <c r="T136" s="35"/>
    </row>
    <row r="137" ht="12.75" customHeight="1">
      <c r="T137" s="35"/>
    </row>
    <row r="138" ht="12.75" customHeight="1">
      <c r="T138" s="35"/>
    </row>
    <row r="139" ht="12.75" customHeight="1">
      <c r="T139" s="35"/>
    </row>
    <row r="140" ht="12.75" customHeight="1">
      <c r="T140" s="35"/>
    </row>
    <row r="141" ht="12.75" customHeight="1">
      <c r="T141" s="35"/>
    </row>
    <row r="142" ht="12.75" customHeight="1">
      <c r="T142" s="35"/>
    </row>
    <row r="143" ht="12.75" customHeight="1">
      <c r="T143" s="35"/>
    </row>
    <row r="144" ht="12.75" customHeight="1">
      <c r="T144" s="35"/>
    </row>
    <row r="145" ht="12.75" customHeight="1">
      <c r="T145" s="35"/>
    </row>
    <row r="146" ht="12.75" customHeight="1">
      <c r="T146" s="35"/>
    </row>
    <row r="147" ht="12.75" customHeight="1">
      <c r="T147" s="35"/>
    </row>
    <row r="148" ht="12.75" customHeight="1">
      <c r="T148" s="35"/>
    </row>
    <row r="149" ht="12.75" customHeight="1">
      <c r="T149" s="35"/>
    </row>
    <row r="150" ht="12.75" customHeight="1">
      <c r="T150" s="35"/>
    </row>
    <row r="151" ht="12.75" customHeight="1">
      <c r="T151" s="35"/>
    </row>
    <row r="152" ht="12.75" customHeight="1">
      <c r="T152" s="35"/>
    </row>
    <row r="153" ht="12.75" customHeight="1">
      <c r="T153" s="35"/>
    </row>
    <row r="154" ht="12.75" customHeight="1">
      <c r="T154" s="35"/>
    </row>
    <row r="155" ht="12.75" customHeight="1">
      <c r="T155" s="35"/>
    </row>
    <row r="156" ht="12.75" customHeight="1">
      <c r="T156" s="35"/>
    </row>
    <row r="157" ht="12.75" customHeight="1">
      <c r="T157" s="35"/>
    </row>
    <row r="158" ht="12.75" customHeight="1">
      <c r="T158" s="35"/>
    </row>
    <row r="159" ht="12.75" customHeight="1">
      <c r="T159" s="35"/>
    </row>
    <row r="160" ht="12.75" customHeight="1">
      <c r="T160" s="35"/>
    </row>
    <row r="161" ht="12.75" customHeight="1">
      <c r="T161" s="35"/>
    </row>
    <row r="162" ht="12.75" customHeight="1">
      <c r="T162" s="35"/>
    </row>
    <row r="163" ht="12.75" customHeight="1">
      <c r="T163" s="35"/>
    </row>
    <row r="164" ht="12.75" customHeight="1">
      <c r="T164" s="35"/>
    </row>
    <row r="165" ht="12.75" customHeight="1">
      <c r="T165" s="35"/>
    </row>
    <row r="166" ht="12.75" customHeight="1">
      <c r="T166" s="35"/>
    </row>
    <row r="167" ht="12.75" customHeight="1">
      <c r="T167" s="35"/>
    </row>
    <row r="168" ht="12.75" customHeight="1">
      <c r="T168" s="35"/>
    </row>
    <row r="169" ht="12.75" customHeight="1">
      <c r="T169" s="35"/>
    </row>
    <row r="170" ht="12.75" customHeight="1">
      <c r="T170" s="35"/>
    </row>
    <row r="171" ht="12.75" customHeight="1">
      <c r="T171" s="35"/>
    </row>
    <row r="172" ht="12.75" customHeight="1">
      <c r="T172" s="35"/>
    </row>
    <row r="173" ht="12.75" customHeight="1">
      <c r="T173" s="35"/>
    </row>
    <row r="174" ht="12.75" customHeight="1">
      <c r="T174" s="35"/>
    </row>
    <row r="175" ht="12.75" customHeight="1">
      <c r="T175" s="35"/>
    </row>
    <row r="176" ht="12.75" customHeight="1">
      <c r="T176" s="35"/>
    </row>
    <row r="177" ht="12.75" customHeight="1">
      <c r="T177" s="35"/>
    </row>
    <row r="178" ht="12.75" customHeight="1">
      <c r="T178" s="35"/>
    </row>
    <row r="179" ht="12.75" customHeight="1">
      <c r="T179" s="35"/>
    </row>
    <row r="180" ht="12.75" customHeight="1">
      <c r="T180" s="35"/>
    </row>
    <row r="181" ht="12.75" customHeight="1">
      <c r="T181" s="35"/>
    </row>
    <row r="182" ht="12.75" customHeight="1">
      <c r="T182" s="35"/>
    </row>
    <row r="183" ht="12.75" customHeight="1">
      <c r="T183" s="35"/>
    </row>
    <row r="184" ht="12.75" customHeight="1">
      <c r="T184" s="35"/>
    </row>
    <row r="185" ht="12.75" customHeight="1">
      <c r="T185" s="35"/>
    </row>
    <row r="186" ht="12.75" customHeight="1">
      <c r="T186" s="35"/>
    </row>
    <row r="187" ht="12.75" customHeight="1">
      <c r="T187" s="35"/>
    </row>
    <row r="188" ht="12.75" customHeight="1">
      <c r="T188" s="35"/>
    </row>
    <row r="189" ht="12.75" customHeight="1">
      <c r="T189" s="35"/>
    </row>
    <row r="190" ht="12.75" customHeight="1">
      <c r="T190" s="35"/>
    </row>
    <row r="191" ht="12.75" customHeight="1">
      <c r="T191" s="35"/>
    </row>
    <row r="192" ht="12.75" customHeight="1">
      <c r="T192" s="35"/>
    </row>
    <row r="193" ht="12.75" customHeight="1">
      <c r="T193" s="35"/>
    </row>
    <row r="194" ht="12.75" customHeight="1">
      <c r="T194" s="35"/>
    </row>
    <row r="195" ht="12.75" customHeight="1">
      <c r="T195" s="35"/>
    </row>
    <row r="196" ht="12.75" customHeight="1">
      <c r="T196" s="35"/>
    </row>
    <row r="197" ht="12.75" customHeight="1">
      <c r="T197" s="35"/>
    </row>
    <row r="198" ht="12.75" customHeight="1">
      <c r="T198" s="35"/>
    </row>
    <row r="199" ht="12.75" customHeight="1">
      <c r="T199" s="35"/>
    </row>
    <row r="200" ht="12.75" customHeight="1">
      <c r="T200" s="35"/>
    </row>
    <row r="201" ht="12.75" customHeight="1">
      <c r="T201" s="35"/>
    </row>
    <row r="202" ht="12.75" customHeight="1">
      <c r="T202" s="35"/>
    </row>
    <row r="203" ht="12.75" customHeight="1">
      <c r="T203" s="35"/>
    </row>
    <row r="204" ht="12.75" customHeight="1">
      <c r="T204" s="35"/>
    </row>
    <row r="205" ht="12.75" customHeight="1">
      <c r="T205" s="35"/>
    </row>
    <row r="206" ht="12.75" customHeight="1">
      <c r="T206" s="35"/>
    </row>
    <row r="207" ht="12.75" customHeight="1">
      <c r="T207" s="35"/>
    </row>
    <row r="208" ht="12.75" customHeight="1">
      <c r="T208" s="35"/>
    </row>
    <row r="209" ht="12.75" customHeight="1">
      <c r="T209" s="35"/>
    </row>
    <row r="210" ht="12.75" customHeight="1">
      <c r="T210" s="35"/>
    </row>
    <row r="211" ht="12.75" customHeight="1">
      <c r="T211" s="35"/>
    </row>
    <row r="212" ht="12.75" customHeight="1">
      <c r="T212" s="35"/>
    </row>
    <row r="213" ht="12.75" customHeight="1">
      <c r="T213" s="35"/>
    </row>
    <row r="214" ht="12.75" customHeight="1">
      <c r="T214" s="35"/>
    </row>
    <row r="215" ht="12.75" customHeight="1">
      <c r="T215" s="35"/>
    </row>
    <row r="216" ht="12.75" customHeight="1">
      <c r="T216" s="35"/>
    </row>
    <row r="217" ht="12.75" customHeight="1">
      <c r="T217" s="35"/>
    </row>
    <row r="218" ht="12.75" customHeight="1">
      <c r="T218" s="35"/>
    </row>
    <row r="219" ht="12.75" customHeight="1">
      <c r="T219" s="35"/>
    </row>
    <row r="220" ht="12.75" customHeight="1">
      <c r="T220" s="35"/>
    </row>
    <row r="221" ht="12.75" customHeight="1">
      <c r="T221" s="35"/>
    </row>
    <row r="222" ht="12.75" customHeight="1">
      <c r="T222" s="35"/>
    </row>
    <row r="223" ht="12.75" customHeight="1">
      <c r="T223" s="35"/>
    </row>
    <row r="224" ht="12.75" customHeight="1">
      <c r="T224" s="35"/>
    </row>
    <row r="225" ht="12.75" customHeight="1">
      <c r="T225" s="35"/>
    </row>
    <row r="226" ht="12.75" customHeight="1">
      <c r="T226" s="35"/>
    </row>
    <row r="227" ht="12.75" customHeight="1">
      <c r="T227" s="35"/>
    </row>
    <row r="228" ht="12.75" customHeight="1">
      <c r="T228" s="35"/>
    </row>
    <row r="229" ht="12.75" customHeight="1">
      <c r="T229" s="35"/>
    </row>
    <row r="230" ht="12.75" customHeight="1">
      <c r="T230" s="35"/>
    </row>
    <row r="231" ht="12.75" customHeight="1">
      <c r="T231" s="35"/>
    </row>
    <row r="232" ht="12.75" customHeight="1">
      <c r="T232" s="35"/>
    </row>
    <row r="233" ht="12.75" customHeight="1">
      <c r="T233" s="35"/>
    </row>
    <row r="234" ht="12.75" customHeight="1">
      <c r="T234" s="35"/>
    </row>
    <row r="235" ht="12.75" customHeight="1">
      <c r="T235" s="35"/>
    </row>
    <row r="236" ht="12.75" customHeight="1">
      <c r="T236" s="35"/>
    </row>
    <row r="237" ht="12.75" customHeight="1">
      <c r="T237" s="35"/>
    </row>
    <row r="238" ht="12.75" customHeight="1">
      <c r="T238" s="35"/>
    </row>
    <row r="239" ht="12.75" customHeight="1">
      <c r="T239" s="35"/>
    </row>
    <row r="240" ht="12.75" customHeight="1">
      <c r="T240" s="35"/>
    </row>
    <row r="241" ht="12.75" customHeight="1">
      <c r="T241" s="35"/>
    </row>
    <row r="242" ht="12.75" customHeight="1">
      <c r="T242" s="35"/>
    </row>
    <row r="243" ht="12.75" customHeight="1">
      <c r="T243" s="35"/>
    </row>
    <row r="244" ht="12.75" customHeight="1">
      <c r="T244" s="35"/>
    </row>
    <row r="245" ht="12.75" customHeight="1">
      <c r="T245" s="35"/>
    </row>
    <row r="246" ht="12.75" customHeight="1">
      <c r="T246" s="35"/>
    </row>
    <row r="247" ht="12.75" customHeight="1">
      <c r="T247" s="35"/>
    </row>
    <row r="248" ht="12.75" customHeight="1">
      <c r="T248" s="35"/>
    </row>
    <row r="249" ht="12.75" customHeight="1">
      <c r="T249" s="35"/>
    </row>
    <row r="250" ht="12.75" customHeight="1">
      <c r="T250" s="35"/>
    </row>
    <row r="251" ht="12.75" customHeight="1">
      <c r="T251" s="35"/>
    </row>
    <row r="252" ht="12.75" customHeight="1">
      <c r="T252" s="35"/>
    </row>
    <row r="253" ht="12.75" customHeight="1">
      <c r="T253" s="35"/>
    </row>
    <row r="254" ht="12.75" customHeight="1">
      <c r="T254" s="35"/>
    </row>
    <row r="255" ht="12.75" customHeight="1">
      <c r="T255" s="35"/>
    </row>
    <row r="256" ht="12.75" customHeight="1">
      <c r="T256" s="35"/>
    </row>
    <row r="257" ht="12.75" customHeight="1">
      <c r="T257" s="35"/>
    </row>
    <row r="258" ht="12.75" customHeight="1">
      <c r="T258" s="35"/>
    </row>
    <row r="259" ht="12.75" customHeight="1">
      <c r="T259" s="35"/>
    </row>
    <row r="260" ht="12.75" customHeight="1">
      <c r="T260" s="35"/>
    </row>
    <row r="261" ht="12.75" customHeight="1">
      <c r="T261" s="35"/>
    </row>
    <row r="262" ht="12.75" customHeight="1">
      <c r="T262" s="35"/>
    </row>
    <row r="263" ht="12.75" customHeight="1">
      <c r="T263" s="35"/>
    </row>
    <row r="264" ht="12.75" customHeight="1">
      <c r="T264" s="35"/>
    </row>
    <row r="265" ht="12.75" customHeight="1">
      <c r="T265" s="35"/>
    </row>
    <row r="266" ht="12.75" customHeight="1">
      <c r="T266" s="35"/>
    </row>
    <row r="267" ht="12.75" customHeight="1">
      <c r="T267" s="35"/>
    </row>
    <row r="268" ht="12.75" customHeight="1">
      <c r="T268" s="35"/>
    </row>
    <row r="269" ht="12.75" customHeight="1">
      <c r="T269" s="35"/>
    </row>
    <row r="270" ht="12.75" customHeight="1">
      <c r="T270" s="35"/>
    </row>
    <row r="271" ht="12.75" customHeight="1">
      <c r="T271" s="35"/>
    </row>
    <row r="272" ht="12.75" customHeight="1">
      <c r="T272" s="35"/>
    </row>
    <row r="273" ht="12.75" customHeight="1">
      <c r="T273" s="35"/>
    </row>
    <row r="274" ht="12.75" customHeight="1">
      <c r="T274" s="35"/>
    </row>
    <row r="275" ht="12.75" customHeight="1">
      <c r="T275" s="35"/>
    </row>
    <row r="276" ht="12.75" customHeight="1">
      <c r="T276" s="35"/>
    </row>
    <row r="277" ht="12.75" customHeight="1">
      <c r="T277" s="35"/>
    </row>
    <row r="278" ht="12.75" customHeight="1">
      <c r="T278" s="35"/>
    </row>
    <row r="279" ht="12.75" customHeight="1">
      <c r="T279" s="35"/>
    </row>
    <row r="280" ht="12.75" customHeight="1">
      <c r="T280" s="35"/>
    </row>
    <row r="281" ht="12.75" customHeight="1">
      <c r="T281" s="35"/>
    </row>
    <row r="282" ht="12.75" customHeight="1">
      <c r="T282" s="35"/>
    </row>
    <row r="283" ht="12.75" customHeight="1">
      <c r="T283" s="35"/>
    </row>
    <row r="284" ht="12.75" customHeight="1">
      <c r="T284" s="35"/>
    </row>
    <row r="285" ht="12.75" customHeight="1">
      <c r="T285" s="35"/>
    </row>
    <row r="286" ht="12.75" customHeight="1">
      <c r="T286" s="35"/>
    </row>
    <row r="287" ht="12.75" customHeight="1">
      <c r="T287" s="35"/>
    </row>
    <row r="288" ht="12.75" customHeight="1">
      <c r="T288" s="35"/>
    </row>
    <row r="289" ht="12.75" customHeight="1">
      <c r="T289" s="35"/>
    </row>
    <row r="290" ht="12.75" customHeight="1">
      <c r="T290" s="35"/>
    </row>
    <row r="291" ht="12.75" customHeight="1">
      <c r="T291" s="35"/>
    </row>
    <row r="292" ht="12.75" customHeight="1">
      <c r="T292" s="35"/>
    </row>
    <row r="293" ht="12.75" customHeight="1">
      <c r="T293" s="35"/>
    </row>
    <row r="294" ht="12.75" customHeight="1">
      <c r="T294" s="35"/>
    </row>
    <row r="295" ht="12.75" customHeight="1">
      <c r="T295" s="35"/>
    </row>
    <row r="296" ht="12.75" customHeight="1">
      <c r="T296" s="35"/>
    </row>
    <row r="297" ht="12.75" customHeight="1">
      <c r="T297" s="35"/>
    </row>
    <row r="298" ht="12.75" customHeight="1">
      <c r="T298" s="35"/>
    </row>
    <row r="299" ht="12.75" customHeight="1">
      <c r="T299" s="35"/>
    </row>
    <row r="300" ht="12.75" customHeight="1">
      <c r="T300" s="35"/>
    </row>
    <row r="301" ht="12.75" customHeight="1">
      <c r="T301" s="35"/>
    </row>
    <row r="302" ht="12.75" customHeight="1">
      <c r="T302" s="35"/>
    </row>
    <row r="303" ht="12.75" customHeight="1">
      <c r="T303" s="35"/>
    </row>
    <row r="304" ht="12.75" customHeight="1">
      <c r="T304" s="35"/>
    </row>
    <row r="305" ht="12.75" customHeight="1">
      <c r="T305" s="35"/>
    </row>
    <row r="306" ht="12.75" customHeight="1">
      <c r="T306" s="35"/>
    </row>
    <row r="307" ht="12.75" customHeight="1">
      <c r="T307" s="35"/>
    </row>
    <row r="308" ht="12.75" customHeight="1">
      <c r="T308" s="35"/>
    </row>
    <row r="309" ht="12.75" customHeight="1">
      <c r="T309" s="35"/>
    </row>
    <row r="310" ht="12.75" customHeight="1">
      <c r="T310" s="35"/>
    </row>
    <row r="311" ht="12.75" customHeight="1">
      <c r="T311" s="35"/>
    </row>
    <row r="312" ht="12.75" customHeight="1">
      <c r="T312" s="35"/>
    </row>
    <row r="313" ht="12.75" customHeight="1">
      <c r="T313" s="35"/>
    </row>
    <row r="314" ht="12.75" customHeight="1">
      <c r="T314" s="35"/>
    </row>
    <row r="315" ht="12.75" customHeight="1">
      <c r="T315" s="35"/>
    </row>
    <row r="316" ht="12.75" customHeight="1">
      <c r="T316" s="35"/>
    </row>
    <row r="317" ht="12.75" customHeight="1">
      <c r="T317" s="35"/>
    </row>
    <row r="318" ht="12.75" customHeight="1">
      <c r="T318" s="35"/>
    </row>
    <row r="319" ht="12.75" customHeight="1">
      <c r="T319" s="35"/>
    </row>
    <row r="320" ht="12.75" customHeight="1">
      <c r="T320" s="35"/>
    </row>
    <row r="321" ht="12.75" customHeight="1">
      <c r="T321" s="35"/>
    </row>
    <row r="322" ht="12.75" customHeight="1">
      <c r="T322" s="35"/>
    </row>
    <row r="323" ht="12.75" customHeight="1">
      <c r="T323" s="35"/>
    </row>
    <row r="324" ht="12.75" customHeight="1">
      <c r="T324" s="35"/>
    </row>
    <row r="325" ht="12.75" customHeight="1">
      <c r="T325" s="35"/>
    </row>
    <row r="326" ht="12.75" customHeight="1">
      <c r="T326" s="35"/>
    </row>
    <row r="327" ht="12.75" customHeight="1">
      <c r="T327" s="35"/>
    </row>
    <row r="328" ht="12.75" customHeight="1">
      <c r="T328" s="35"/>
    </row>
    <row r="329" ht="12.75" customHeight="1">
      <c r="T329" s="35"/>
    </row>
    <row r="330" ht="12.75" customHeight="1">
      <c r="T330" s="35"/>
    </row>
    <row r="331" ht="12.75" customHeight="1">
      <c r="T331" s="35"/>
    </row>
    <row r="332" ht="12.75" customHeight="1">
      <c r="T332" s="35"/>
    </row>
    <row r="333" ht="12.75" customHeight="1">
      <c r="T333" s="35"/>
    </row>
    <row r="334" ht="12.75" customHeight="1">
      <c r="T334" s="35"/>
    </row>
    <row r="335" ht="12.75" customHeight="1">
      <c r="T335" s="35"/>
    </row>
    <row r="336" ht="12.75" customHeight="1">
      <c r="T336" s="35"/>
    </row>
    <row r="337" ht="12.75" customHeight="1">
      <c r="T337" s="35"/>
    </row>
    <row r="338" ht="12.75" customHeight="1">
      <c r="T338" s="35"/>
    </row>
    <row r="339" ht="12.75" customHeight="1">
      <c r="T339" s="35"/>
    </row>
    <row r="340" ht="12.75" customHeight="1">
      <c r="T340" s="35"/>
    </row>
    <row r="341" ht="12.75" customHeight="1">
      <c r="T341" s="35"/>
    </row>
    <row r="342" ht="12.75" customHeight="1">
      <c r="T342" s="35"/>
    </row>
    <row r="343" ht="12.75" customHeight="1">
      <c r="T343" s="35"/>
    </row>
    <row r="344" ht="12.75" customHeight="1">
      <c r="T344" s="35"/>
    </row>
    <row r="345" ht="12.75" customHeight="1">
      <c r="T345" s="35"/>
    </row>
    <row r="346" ht="12.75" customHeight="1">
      <c r="T346" s="35"/>
    </row>
    <row r="347" ht="12.75" customHeight="1">
      <c r="T347" s="35"/>
    </row>
    <row r="348" ht="12.75" customHeight="1">
      <c r="T348" s="35"/>
    </row>
    <row r="349" ht="12.75" customHeight="1">
      <c r="T349" s="35"/>
    </row>
    <row r="350" ht="12.75" customHeight="1">
      <c r="T350" s="35"/>
    </row>
    <row r="351" ht="12.75" customHeight="1">
      <c r="T351" s="35"/>
    </row>
    <row r="352" ht="12.75" customHeight="1">
      <c r="T352" s="35"/>
    </row>
    <row r="353" ht="12.75" customHeight="1">
      <c r="T353" s="35"/>
    </row>
    <row r="354" ht="12.75" customHeight="1">
      <c r="T354" s="35"/>
    </row>
    <row r="355" ht="12.75" customHeight="1">
      <c r="T355" s="35"/>
    </row>
    <row r="356" ht="12.75" customHeight="1">
      <c r="T356" s="35"/>
    </row>
    <row r="357" ht="12.75" customHeight="1">
      <c r="T357" s="35"/>
    </row>
    <row r="358" ht="12.75" customHeight="1">
      <c r="T358" s="35"/>
    </row>
    <row r="359" ht="12.75" customHeight="1">
      <c r="T359" s="35"/>
    </row>
    <row r="360" ht="12.75" customHeight="1">
      <c r="T360" s="35"/>
    </row>
    <row r="361" ht="12.75" customHeight="1">
      <c r="T361" s="35"/>
    </row>
    <row r="362" ht="12.75" customHeight="1">
      <c r="T362" s="35"/>
    </row>
    <row r="363" ht="12.75" customHeight="1">
      <c r="T363" s="35"/>
    </row>
    <row r="364" ht="12.75" customHeight="1">
      <c r="T364" s="35"/>
    </row>
    <row r="365" ht="12.75" customHeight="1">
      <c r="T365" s="35"/>
    </row>
    <row r="366" ht="12.75" customHeight="1">
      <c r="T366" s="35"/>
    </row>
    <row r="367" ht="12.75" customHeight="1">
      <c r="T367" s="35"/>
    </row>
    <row r="368" ht="12.75" customHeight="1">
      <c r="T368" s="35"/>
    </row>
    <row r="369" ht="12.75" customHeight="1">
      <c r="T369" s="35"/>
    </row>
    <row r="370" ht="12.75" customHeight="1">
      <c r="T370" s="35"/>
    </row>
    <row r="371" ht="12.75" customHeight="1">
      <c r="T371" s="35"/>
    </row>
    <row r="372" ht="12.75" customHeight="1">
      <c r="T372" s="35"/>
    </row>
    <row r="373" ht="12.75" customHeight="1">
      <c r="T373" s="35"/>
    </row>
    <row r="374" ht="12.75" customHeight="1">
      <c r="T374" s="35"/>
    </row>
    <row r="375" ht="12.75" customHeight="1">
      <c r="T375" s="35"/>
    </row>
    <row r="376" ht="12.75" customHeight="1">
      <c r="T376" s="35"/>
    </row>
    <row r="377" ht="12.75" customHeight="1">
      <c r="T377" s="35"/>
    </row>
    <row r="378" ht="12.75" customHeight="1">
      <c r="T378" s="35"/>
    </row>
    <row r="379" ht="12.75" customHeight="1">
      <c r="T379" s="35"/>
    </row>
    <row r="380" ht="12.75" customHeight="1">
      <c r="T380" s="35"/>
    </row>
    <row r="381" ht="12.75" customHeight="1">
      <c r="T381" s="35"/>
    </row>
    <row r="382" ht="12.75" customHeight="1">
      <c r="T382" s="35"/>
    </row>
    <row r="383" ht="12.75" customHeight="1">
      <c r="T383" s="35"/>
    </row>
    <row r="384" ht="12.75" customHeight="1">
      <c r="T384" s="35"/>
    </row>
    <row r="385" ht="12.75" customHeight="1">
      <c r="T385" s="35"/>
    </row>
    <row r="386" ht="12.75" customHeight="1">
      <c r="T386" s="35"/>
    </row>
    <row r="387" ht="12.75" customHeight="1">
      <c r="T387" s="35"/>
    </row>
    <row r="388" ht="12.75" customHeight="1">
      <c r="T388" s="35"/>
    </row>
    <row r="389" ht="12.75" customHeight="1">
      <c r="T389" s="35"/>
    </row>
    <row r="390" ht="12.75" customHeight="1">
      <c r="T390" s="35"/>
    </row>
    <row r="391" ht="12.75" customHeight="1">
      <c r="T391" s="35"/>
    </row>
    <row r="392" ht="12.75" customHeight="1">
      <c r="T392" s="35"/>
    </row>
    <row r="393" ht="12.75" customHeight="1">
      <c r="T393" s="35"/>
    </row>
    <row r="394" ht="12.75" customHeight="1">
      <c r="T394" s="35"/>
    </row>
    <row r="395" ht="12.75" customHeight="1">
      <c r="T395" s="35"/>
    </row>
    <row r="396" ht="12.75" customHeight="1">
      <c r="T396" s="35"/>
    </row>
    <row r="397" ht="12.75" customHeight="1">
      <c r="T397" s="35"/>
    </row>
    <row r="398" ht="12.75" customHeight="1">
      <c r="T398" s="35"/>
    </row>
    <row r="399" ht="12.75" customHeight="1">
      <c r="T399" s="35"/>
    </row>
    <row r="400" ht="12.75" customHeight="1">
      <c r="T400" s="35"/>
    </row>
    <row r="401" ht="12.75" customHeight="1">
      <c r="T401" s="35"/>
    </row>
    <row r="402" ht="12.75" customHeight="1">
      <c r="T402" s="35"/>
    </row>
    <row r="403" ht="12.75" customHeight="1">
      <c r="T403" s="35"/>
    </row>
    <row r="404" ht="12.75" customHeight="1">
      <c r="T404" s="35"/>
    </row>
    <row r="405" ht="12.75" customHeight="1">
      <c r="T405" s="35"/>
    </row>
    <row r="406" ht="12.75" customHeight="1">
      <c r="T406" s="35"/>
    </row>
    <row r="407" ht="12.75" customHeight="1">
      <c r="T407" s="35"/>
    </row>
    <row r="408" ht="12.75" customHeight="1">
      <c r="T408" s="35"/>
    </row>
    <row r="409" ht="12.75" customHeight="1">
      <c r="T409" s="35"/>
    </row>
    <row r="410" ht="12.75" customHeight="1">
      <c r="T410" s="35"/>
    </row>
    <row r="411" ht="12.75" customHeight="1">
      <c r="T411" s="35"/>
    </row>
    <row r="412" ht="12.75" customHeight="1">
      <c r="T412" s="35"/>
    </row>
    <row r="413" ht="12.75" customHeight="1">
      <c r="T413" s="35"/>
    </row>
    <row r="414" ht="12.75" customHeight="1">
      <c r="T414" s="35"/>
    </row>
    <row r="415" ht="12.75" customHeight="1">
      <c r="T415" s="35"/>
    </row>
    <row r="416" ht="12.75" customHeight="1">
      <c r="T416" s="35"/>
    </row>
    <row r="417" ht="12.75" customHeight="1">
      <c r="T417" s="35"/>
    </row>
    <row r="418" ht="12.75" customHeight="1">
      <c r="T418" s="35"/>
    </row>
    <row r="419" ht="12.75" customHeight="1">
      <c r="T419" s="35"/>
    </row>
    <row r="420" ht="12.75" customHeight="1">
      <c r="T420" s="35"/>
    </row>
    <row r="421" ht="12.75" customHeight="1">
      <c r="T421" s="35"/>
    </row>
    <row r="422" ht="12.75" customHeight="1">
      <c r="T422" s="35"/>
    </row>
    <row r="423" ht="12.75" customHeight="1">
      <c r="T423" s="35"/>
    </row>
    <row r="424" ht="12.75" customHeight="1">
      <c r="T424" s="35"/>
    </row>
    <row r="425" ht="12.75" customHeight="1">
      <c r="T425" s="35"/>
    </row>
    <row r="426" ht="12.75" customHeight="1">
      <c r="T426" s="35"/>
    </row>
    <row r="427" ht="12.75" customHeight="1">
      <c r="T427" s="35"/>
    </row>
    <row r="428" ht="12.75" customHeight="1">
      <c r="T428" s="35"/>
    </row>
    <row r="429" ht="12.75" customHeight="1">
      <c r="T429" s="35"/>
    </row>
    <row r="430" ht="12.75" customHeight="1">
      <c r="T430" s="35"/>
    </row>
    <row r="431" ht="12.75" customHeight="1">
      <c r="T431" s="35"/>
    </row>
    <row r="432" ht="12.75" customHeight="1">
      <c r="T432" s="35"/>
    </row>
    <row r="433" ht="12.75" customHeight="1">
      <c r="T433" s="35"/>
    </row>
    <row r="434" ht="12.75" customHeight="1">
      <c r="T434" s="35"/>
    </row>
    <row r="435" ht="12.75" customHeight="1">
      <c r="T435" s="35"/>
    </row>
    <row r="436" ht="12.75" customHeight="1">
      <c r="T436" s="35"/>
    </row>
    <row r="437" ht="12.75" customHeight="1">
      <c r="T437" s="35"/>
    </row>
    <row r="438" ht="12.75" customHeight="1">
      <c r="T438" s="35"/>
    </row>
    <row r="439" ht="12.75" customHeight="1">
      <c r="T439" s="35"/>
    </row>
    <row r="440" ht="12.75" customHeight="1">
      <c r="T440" s="35"/>
    </row>
    <row r="441" ht="12.75" customHeight="1">
      <c r="T441" s="35"/>
    </row>
    <row r="442" ht="12.75" customHeight="1">
      <c r="T442" s="35"/>
    </row>
    <row r="443" ht="12.75" customHeight="1">
      <c r="T443" s="35"/>
    </row>
    <row r="444" ht="12.75" customHeight="1">
      <c r="T444" s="35"/>
    </row>
    <row r="445" ht="12.75" customHeight="1">
      <c r="T445" s="35"/>
    </row>
    <row r="446" ht="12.75" customHeight="1">
      <c r="T446" s="35"/>
    </row>
    <row r="447" ht="12.75" customHeight="1">
      <c r="T447" s="35"/>
    </row>
    <row r="448" ht="12.75" customHeight="1">
      <c r="T448" s="35"/>
    </row>
    <row r="449" ht="12.75" customHeight="1">
      <c r="T449" s="35"/>
    </row>
    <row r="450" ht="12.75" customHeight="1">
      <c r="T450" s="35"/>
    </row>
    <row r="451" ht="12.75" customHeight="1">
      <c r="T451" s="35"/>
    </row>
    <row r="452" ht="12.75" customHeight="1">
      <c r="T452" s="35"/>
    </row>
    <row r="453" ht="12.75" customHeight="1">
      <c r="T453" s="35"/>
    </row>
    <row r="454" ht="12.75" customHeight="1">
      <c r="T454" s="35"/>
    </row>
    <row r="455" ht="12.75" customHeight="1">
      <c r="T455" s="35"/>
    </row>
    <row r="456" ht="12.75" customHeight="1">
      <c r="T456" s="35"/>
    </row>
    <row r="457" ht="12.75" customHeight="1">
      <c r="T457" s="35"/>
    </row>
    <row r="458" ht="12.75" customHeight="1">
      <c r="T458" s="35"/>
    </row>
    <row r="459" ht="12.75" customHeight="1">
      <c r="T459" s="35"/>
    </row>
    <row r="460" ht="12.75" customHeight="1">
      <c r="T460" s="35"/>
    </row>
    <row r="461" ht="12.75" customHeight="1">
      <c r="T461" s="35"/>
    </row>
    <row r="462" ht="12.75" customHeight="1">
      <c r="T462" s="35"/>
    </row>
    <row r="463" ht="12.75" customHeight="1">
      <c r="T463" s="35"/>
    </row>
    <row r="464" ht="12.75" customHeight="1">
      <c r="T464" s="35"/>
    </row>
    <row r="465" ht="12.75" customHeight="1">
      <c r="T465" s="35"/>
    </row>
    <row r="466" ht="12.75" customHeight="1">
      <c r="T466" s="35"/>
    </row>
    <row r="467" ht="12.75" customHeight="1">
      <c r="T467" s="35"/>
    </row>
    <row r="468" ht="12.75" customHeight="1">
      <c r="T468" s="35"/>
    </row>
    <row r="469" ht="12.75" customHeight="1">
      <c r="T469" s="35"/>
    </row>
    <row r="470" ht="12.75" customHeight="1">
      <c r="T470" s="35"/>
    </row>
    <row r="471" ht="12.75" customHeight="1">
      <c r="T471" s="35"/>
    </row>
    <row r="472" ht="12.75" customHeight="1">
      <c r="T472" s="35"/>
    </row>
    <row r="473" ht="12.75" customHeight="1">
      <c r="T473" s="35"/>
    </row>
    <row r="474" ht="12.75" customHeight="1">
      <c r="T474" s="35"/>
    </row>
    <row r="475" ht="12.75" customHeight="1">
      <c r="T475" s="35"/>
    </row>
    <row r="476" ht="12.75" customHeight="1">
      <c r="T476" s="35"/>
    </row>
    <row r="477" ht="12.75" customHeight="1">
      <c r="T477" s="35"/>
    </row>
    <row r="478" ht="12.75" customHeight="1">
      <c r="T478" s="35"/>
    </row>
    <row r="479" ht="12.75" customHeight="1">
      <c r="T479" s="35"/>
    </row>
    <row r="480" ht="12.75" customHeight="1">
      <c r="T480" s="35"/>
    </row>
    <row r="481" ht="12.75" customHeight="1">
      <c r="T481" s="35"/>
    </row>
    <row r="482" ht="12.75" customHeight="1">
      <c r="T482" s="35"/>
    </row>
    <row r="483" ht="12.75" customHeight="1">
      <c r="T483" s="35"/>
    </row>
    <row r="484" ht="12.75" customHeight="1">
      <c r="T484" s="35"/>
    </row>
    <row r="485" ht="12.75" customHeight="1">
      <c r="T485" s="35"/>
    </row>
    <row r="486" ht="12.75" customHeight="1">
      <c r="T486" s="35"/>
    </row>
    <row r="487" ht="12.75" customHeight="1">
      <c r="T487" s="35"/>
    </row>
    <row r="488" ht="12.75" customHeight="1">
      <c r="T488" s="35"/>
    </row>
    <row r="489" ht="12.75" customHeight="1">
      <c r="T489" s="35"/>
    </row>
    <row r="490" ht="12.75" customHeight="1">
      <c r="T490" s="35"/>
    </row>
    <row r="491" ht="12.75" customHeight="1">
      <c r="T491" s="35"/>
    </row>
    <row r="492" ht="12.75" customHeight="1">
      <c r="T492" s="35"/>
    </row>
    <row r="493" ht="12.75" customHeight="1">
      <c r="T493" s="35"/>
    </row>
    <row r="494" ht="12.75" customHeight="1">
      <c r="T494" s="35"/>
    </row>
    <row r="495" ht="12.75" customHeight="1">
      <c r="T495" s="35"/>
    </row>
    <row r="496" ht="12.75" customHeight="1">
      <c r="T496" s="35"/>
    </row>
    <row r="497" ht="12.75" customHeight="1">
      <c r="T497" s="35"/>
    </row>
    <row r="498" ht="12.75" customHeight="1">
      <c r="T498" s="35"/>
    </row>
    <row r="499" ht="12.75" customHeight="1">
      <c r="T499" s="35"/>
    </row>
    <row r="500" ht="12.75" customHeight="1">
      <c r="T500" s="35"/>
    </row>
    <row r="501" ht="12.75" customHeight="1">
      <c r="T501" s="35"/>
    </row>
    <row r="502" ht="12.75" customHeight="1">
      <c r="T502" s="35"/>
    </row>
    <row r="503" ht="12.75" customHeight="1">
      <c r="T503" s="35"/>
    </row>
    <row r="504" ht="12.75" customHeight="1">
      <c r="T504" s="35"/>
    </row>
    <row r="505" ht="12.75" customHeight="1">
      <c r="T505" s="35"/>
    </row>
    <row r="506" ht="12.75" customHeight="1">
      <c r="T506" s="35"/>
    </row>
    <row r="507" ht="12.75" customHeight="1">
      <c r="T507" s="35"/>
    </row>
    <row r="508" ht="12.75" customHeight="1">
      <c r="T508" s="35"/>
    </row>
    <row r="509" ht="12.75" customHeight="1">
      <c r="T509" s="35"/>
    </row>
    <row r="510" ht="12.75" customHeight="1">
      <c r="T510" s="35"/>
    </row>
    <row r="511" ht="12.75" customHeight="1">
      <c r="T511" s="35"/>
    </row>
    <row r="512" ht="12.75" customHeight="1">
      <c r="T512" s="35"/>
    </row>
    <row r="513" ht="12.75" customHeight="1">
      <c r="T513" s="35"/>
    </row>
    <row r="514" ht="12.75" customHeight="1">
      <c r="T514" s="35"/>
    </row>
    <row r="515" ht="12.75" customHeight="1">
      <c r="T515" s="35"/>
    </row>
    <row r="516" ht="12.75" customHeight="1">
      <c r="T516" s="35"/>
    </row>
    <row r="517" ht="12.75" customHeight="1">
      <c r="T517" s="35"/>
    </row>
    <row r="518" ht="12.75" customHeight="1">
      <c r="T518" s="35"/>
    </row>
    <row r="519" ht="12.75" customHeight="1">
      <c r="T519" s="35"/>
    </row>
    <row r="520" ht="12.75" customHeight="1">
      <c r="T520" s="35"/>
    </row>
    <row r="521" ht="12.75" customHeight="1">
      <c r="T521" s="35"/>
    </row>
    <row r="522" ht="12.75" customHeight="1">
      <c r="T522" s="35"/>
    </row>
    <row r="523" ht="12.75" customHeight="1">
      <c r="T523" s="35"/>
    </row>
    <row r="524" ht="12.75" customHeight="1">
      <c r="T524" s="35"/>
    </row>
    <row r="525" ht="12.75" customHeight="1">
      <c r="T525" s="35"/>
    </row>
    <row r="526" ht="12.75" customHeight="1">
      <c r="T526" s="35"/>
    </row>
    <row r="527" ht="12.75" customHeight="1">
      <c r="T527" s="35"/>
    </row>
    <row r="528" ht="12.75" customHeight="1">
      <c r="T528" s="35"/>
    </row>
    <row r="529" ht="12.75" customHeight="1">
      <c r="T529" s="35"/>
    </row>
    <row r="530" ht="12.75" customHeight="1">
      <c r="T530" s="35"/>
    </row>
    <row r="531" ht="12.75" customHeight="1">
      <c r="T531" s="35"/>
    </row>
    <row r="532" ht="12.75" customHeight="1">
      <c r="T532" s="35"/>
    </row>
    <row r="533" ht="12.75" customHeight="1">
      <c r="T533" s="35"/>
    </row>
    <row r="534" ht="12.75" customHeight="1">
      <c r="T534" s="35"/>
    </row>
    <row r="535" ht="12.75" customHeight="1">
      <c r="T535" s="35"/>
    </row>
    <row r="536" ht="12.75" customHeight="1">
      <c r="T536" s="35"/>
    </row>
    <row r="537" ht="12.75" customHeight="1">
      <c r="T537" s="35"/>
    </row>
    <row r="538" ht="12.75" customHeight="1">
      <c r="T538" s="35"/>
    </row>
    <row r="539" ht="12.75" customHeight="1">
      <c r="T539" s="35"/>
    </row>
    <row r="540" ht="12.75" customHeight="1">
      <c r="T540" s="35"/>
    </row>
    <row r="541" ht="12.75" customHeight="1">
      <c r="T541" s="35"/>
    </row>
    <row r="542" ht="12.75" customHeight="1">
      <c r="T542" s="35"/>
    </row>
    <row r="543" ht="12.75" customHeight="1">
      <c r="T543" s="35"/>
    </row>
    <row r="544" ht="12.75" customHeight="1">
      <c r="T544" s="35"/>
    </row>
    <row r="545" ht="12.75" customHeight="1">
      <c r="T545" s="35"/>
    </row>
    <row r="546" ht="12.75" customHeight="1">
      <c r="T546" s="35"/>
    </row>
    <row r="547" ht="12.75" customHeight="1">
      <c r="T547" s="35"/>
    </row>
    <row r="548" ht="12.75" customHeight="1">
      <c r="T548" s="35"/>
    </row>
    <row r="549" ht="12.75" customHeight="1">
      <c r="T549" s="35"/>
    </row>
    <row r="550" ht="12.75" customHeight="1">
      <c r="T550" s="35"/>
    </row>
    <row r="551" ht="12.75" customHeight="1">
      <c r="T551" s="35"/>
    </row>
    <row r="552" ht="12.75" customHeight="1">
      <c r="T552" s="35"/>
    </row>
    <row r="553" ht="12.75" customHeight="1">
      <c r="T553" s="35"/>
    </row>
    <row r="554" ht="12.75" customHeight="1">
      <c r="T554" s="35"/>
    </row>
    <row r="555" ht="12.75" customHeight="1">
      <c r="T555" s="35"/>
    </row>
    <row r="556" ht="12.75" customHeight="1">
      <c r="T556" s="35"/>
    </row>
    <row r="557" ht="12.75" customHeight="1">
      <c r="T557" s="35"/>
    </row>
    <row r="558" ht="12.75" customHeight="1">
      <c r="T558" s="35"/>
    </row>
    <row r="559" ht="12.75" customHeight="1">
      <c r="T559" s="35"/>
    </row>
    <row r="560" ht="12.75" customHeight="1">
      <c r="T560" s="35"/>
    </row>
    <row r="561" ht="12.75" customHeight="1">
      <c r="T561" s="35"/>
    </row>
    <row r="562" ht="12.75" customHeight="1">
      <c r="T562" s="35"/>
    </row>
    <row r="563" ht="12.75" customHeight="1">
      <c r="T563" s="35"/>
    </row>
    <row r="564" ht="12.75" customHeight="1">
      <c r="T564" s="35"/>
    </row>
    <row r="565" ht="12.75" customHeight="1">
      <c r="T565" s="35"/>
    </row>
    <row r="566" ht="12.75" customHeight="1">
      <c r="T566" s="35"/>
    </row>
    <row r="567" ht="12.75" customHeight="1">
      <c r="T567" s="35"/>
    </row>
    <row r="568" ht="12.75" customHeight="1">
      <c r="T568" s="35"/>
    </row>
    <row r="569" ht="12.75" customHeight="1">
      <c r="T569" s="35"/>
    </row>
    <row r="570" ht="12.75" customHeight="1">
      <c r="T570" s="35"/>
    </row>
    <row r="571" ht="12.75" customHeight="1">
      <c r="T571" s="35"/>
    </row>
    <row r="572" ht="12.75" customHeight="1">
      <c r="T572" s="35"/>
    </row>
    <row r="573" ht="12.75" customHeight="1">
      <c r="T573" s="35"/>
    </row>
    <row r="574" ht="12.75" customHeight="1">
      <c r="T574" s="35"/>
    </row>
    <row r="575" ht="12.75" customHeight="1">
      <c r="T575" s="35"/>
    </row>
    <row r="576" ht="12.75" customHeight="1">
      <c r="T576" s="35"/>
    </row>
    <row r="577" ht="12.75" customHeight="1">
      <c r="T577" s="35"/>
    </row>
    <row r="578" ht="12.75" customHeight="1">
      <c r="T578" s="35"/>
    </row>
    <row r="579" ht="12.75" customHeight="1">
      <c r="T579" s="35"/>
    </row>
    <row r="580" ht="12.75" customHeight="1">
      <c r="T580" s="35"/>
    </row>
    <row r="581" ht="12.75" customHeight="1">
      <c r="T581" s="35"/>
    </row>
    <row r="582" ht="12.75" customHeight="1">
      <c r="T582" s="35"/>
    </row>
    <row r="583" ht="12.75" customHeight="1">
      <c r="T583" s="35"/>
    </row>
    <row r="584" ht="12.75" customHeight="1">
      <c r="T584" s="35"/>
    </row>
    <row r="585" ht="12.75" customHeight="1">
      <c r="T585" s="35"/>
    </row>
    <row r="586" ht="12.75" customHeight="1">
      <c r="T586" s="35"/>
    </row>
    <row r="587" ht="12.75" customHeight="1">
      <c r="T587" s="35"/>
    </row>
    <row r="588" ht="12.75" customHeight="1">
      <c r="T588" s="35"/>
    </row>
    <row r="589" ht="12.75" customHeight="1">
      <c r="T589" s="35"/>
    </row>
    <row r="590" ht="12.75" customHeight="1">
      <c r="T590" s="35"/>
    </row>
    <row r="591" ht="12.75" customHeight="1">
      <c r="T591" s="35"/>
    </row>
    <row r="592" ht="12.75" customHeight="1">
      <c r="T592" s="35"/>
    </row>
    <row r="593" ht="12.75" customHeight="1">
      <c r="T593" s="35"/>
    </row>
    <row r="594" ht="12.75" customHeight="1">
      <c r="T594" s="35"/>
    </row>
    <row r="595" ht="12.75" customHeight="1">
      <c r="T595" s="35"/>
    </row>
    <row r="596" ht="12.75" customHeight="1">
      <c r="T596" s="35"/>
    </row>
    <row r="597" ht="12.75" customHeight="1">
      <c r="T597" s="35"/>
    </row>
    <row r="598" ht="12.75" customHeight="1">
      <c r="T598" s="35"/>
    </row>
    <row r="599" ht="12.75" customHeight="1">
      <c r="T599" s="35"/>
    </row>
    <row r="600" ht="12.75" customHeight="1">
      <c r="T600" s="35"/>
    </row>
    <row r="601" ht="12.75" customHeight="1">
      <c r="T601" s="35"/>
    </row>
    <row r="602" ht="12.75" customHeight="1">
      <c r="T602" s="35"/>
    </row>
    <row r="603" ht="12.75" customHeight="1">
      <c r="T603" s="35"/>
    </row>
    <row r="604" ht="12.75" customHeight="1">
      <c r="T604" s="35"/>
    </row>
    <row r="605" ht="12.75" customHeight="1">
      <c r="T605" s="35"/>
    </row>
    <row r="606" ht="12.75" customHeight="1">
      <c r="T606" s="35"/>
    </row>
    <row r="607" ht="12.75" customHeight="1">
      <c r="T607" s="35"/>
    </row>
    <row r="608" ht="12.75" customHeight="1">
      <c r="T608" s="35"/>
    </row>
    <row r="609" ht="12.75" customHeight="1">
      <c r="T609" s="35"/>
    </row>
    <row r="610" ht="12.75" customHeight="1">
      <c r="T610" s="35"/>
    </row>
    <row r="611" ht="12.75" customHeight="1">
      <c r="T611" s="35"/>
    </row>
    <row r="612" ht="12.75" customHeight="1">
      <c r="T612" s="35"/>
    </row>
    <row r="613" ht="12.75" customHeight="1">
      <c r="T613" s="35"/>
    </row>
    <row r="614" ht="12.75" customHeight="1">
      <c r="T614" s="35"/>
    </row>
    <row r="615" ht="12.75" customHeight="1">
      <c r="T615" s="35"/>
    </row>
    <row r="616" ht="12.75" customHeight="1">
      <c r="T616" s="35"/>
    </row>
    <row r="617" ht="12.75" customHeight="1">
      <c r="T617" s="35"/>
    </row>
    <row r="618" ht="12.75" customHeight="1">
      <c r="T618" s="35"/>
    </row>
    <row r="619" ht="12.75" customHeight="1">
      <c r="T619" s="35"/>
    </row>
    <row r="620" ht="12.75" customHeight="1">
      <c r="T620" s="35"/>
    </row>
    <row r="621" ht="12.75" customHeight="1">
      <c r="T621" s="35"/>
    </row>
    <row r="622" ht="12.75" customHeight="1">
      <c r="T622" s="35"/>
    </row>
    <row r="623" ht="12.75" customHeight="1">
      <c r="T623" s="35"/>
    </row>
    <row r="624" ht="12.75" customHeight="1">
      <c r="T624" s="35"/>
    </row>
    <row r="625" ht="12.75" customHeight="1">
      <c r="T625" s="35"/>
    </row>
    <row r="626" ht="12.75" customHeight="1">
      <c r="T626" s="35"/>
    </row>
    <row r="627" ht="12.75" customHeight="1">
      <c r="T627" s="35"/>
    </row>
    <row r="628" ht="12.75" customHeight="1">
      <c r="T628" s="35"/>
    </row>
    <row r="629" ht="12.75" customHeight="1">
      <c r="T629" s="35"/>
    </row>
    <row r="630" ht="12.75" customHeight="1">
      <c r="T630" s="35"/>
    </row>
    <row r="631" ht="12.75" customHeight="1">
      <c r="T631" s="35"/>
    </row>
    <row r="632" ht="12.75" customHeight="1">
      <c r="T632" s="35"/>
    </row>
    <row r="633" ht="12.75" customHeight="1">
      <c r="T633" s="35"/>
    </row>
    <row r="634" ht="12.75" customHeight="1">
      <c r="T634" s="35"/>
    </row>
    <row r="635" ht="12.75" customHeight="1">
      <c r="T635" s="35"/>
    </row>
    <row r="636" ht="12.75" customHeight="1">
      <c r="T636" s="35"/>
    </row>
    <row r="637" ht="12.75" customHeight="1">
      <c r="T637" s="35"/>
    </row>
    <row r="638" ht="12.75" customHeight="1">
      <c r="T638" s="35"/>
    </row>
    <row r="639" ht="12.75" customHeight="1">
      <c r="T639" s="35"/>
    </row>
    <row r="640" ht="12.75" customHeight="1">
      <c r="T640" s="35"/>
    </row>
    <row r="641" ht="12.75" customHeight="1">
      <c r="T641" s="35"/>
    </row>
    <row r="642" ht="12.75" customHeight="1">
      <c r="T642" s="35"/>
    </row>
    <row r="643" ht="12.75" customHeight="1">
      <c r="T643" s="35"/>
    </row>
    <row r="644" ht="12.75" customHeight="1">
      <c r="T644" s="35"/>
    </row>
    <row r="645" ht="12.75" customHeight="1">
      <c r="T645" s="35"/>
    </row>
    <row r="646" ht="12.75" customHeight="1">
      <c r="T646" s="35"/>
    </row>
    <row r="647" ht="12.75" customHeight="1">
      <c r="T647" s="35"/>
    </row>
    <row r="648" ht="12.75" customHeight="1">
      <c r="T648" s="35"/>
    </row>
    <row r="649" ht="12.75" customHeight="1">
      <c r="T649" s="35"/>
    </row>
    <row r="650" ht="12.75" customHeight="1">
      <c r="T650" s="35"/>
    </row>
    <row r="651" ht="12.75" customHeight="1">
      <c r="T651" s="35"/>
    </row>
    <row r="652" ht="12.75" customHeight="1">
      <c r="T652" s="35"/>
    </row>
    <row r="653" ht="12.75" customHeight="1">
      <c r="T653" s="35"/>
    </row>
    <row r="654" ht="12.75" customHeight="1">
      <c r="T654" s="35"/>
    </row>
    <row r="655" ht="12.75" customHeight="1">
      <c r="T655" s="35"/>
    </row>
    <row r="656" ht="12.75" customHeight="1">
      <c r="T656" s="35"/>
    </row>
    <row r="657" ht="12.75" customHeight="1">
      <c r="T657" s="35"/>
    </row>
    <row r="658" ht="12.75" customHeight="1">
      <c r="T658" s="35"/>
    </row>
    <row r="659" ht="12.75" customHeight="1">
      <c r="T659" s="35"/>
    </row>
    <row r="660" ht="12.75" customHeight="1">
      <c r="T660" s="35"/>
    </row>
    <row r="661" ht="12.75" customHeight="1">
      <c r="T661" s="35"/>
    </row>
    <row r="662" ht="12.75" customHeight="1">
      <c r="T662" s="35"/>
    </row>
    <row r="663" ht="12.75" customHeight="1">
      <c r="T663" s="35"/>
    </row>
    <row r="664" ht="12.75" customHeight="1">
      <c r="T664" s="35"/>
    </row>
    <row r="665" ht="12.75" customHeight="1">
      <c r="T665" s="35"/>
    </row>
    <row r="666" ht="12.75" customHeight="1">
      <c r="T666" s="35"/>
    </row>
    <row r="667" ht="12.75" customHeight="1">
      <c r="T667" s="35"/>
    </row>
    <row r="668" ht="12.75" customHeight="1">
      <c r="T668" s="35"/>
    </row>
    <row r="669" ht="12.75" customHeight="1">
      <c r="T669" s="35"/>
    </row>
    <row r="670" ht="12.75" customHeight="1">
      <c r="T670" s="35"/>
    </row>
    <row r="671" ht="12.75" customHeight="1">
      <c r="T671" s="35"/>
    </row>
    <row r="672" ht="12.75" customHeight="1">
      <c r="T672" s="35"/>
    </row>
    <row r="673" ht="12.75" customHeight="1">
      <c r="T673" s="35"/>
    </row>
    <row r="674" ht="12.75" customHeight="1">
      <c r="T674" s="35"/>
    </row>
    <row r="675" ht="12.75" customHeight="1">
      <c r="T675" s="35"/>
    </row>
    <row r="676" ht="12.75" customHeight="1">
      <c r="T676" s="35"/>
    </row>
    <row r="677" ht="12.75" customHeight="1">
      <c r="T677" s="35"/>
    </row>
    <row r="678" ht="12.75" customHeight="1">
      <c r="T678" s="35"/>
    </row>
    <row r="679" ht="12.75" customHeight="1">
      <c r="T679" s="35"/>
    </row>
    <row r="680" ht="12.75" customHeight="1">
      <c r="T680" s="35"/>
    </row>
    <row r="681" ht="12.75" customHeight="1">
      <c r="T681" s="35"/>
    </row>
    <row r="682" ht="12.75" customHeight="1">
      <c r="T682" s="35"/>
    </row>
    <row r="683" ht="12.75" customHeight="1">
      <c r="T683" s="35"/>
    </row>
    <row r="684" ht="12.75" customHeight="1">
      <c r="T684" s="35"/>
    </row>
    <row r="685" ht="12.75" customHeight="1">
      <c r="T685" s="35"/>
    </row>
    <row r="686" ht="12.75" customHeight="1">
      <c r="T686" s="35"/>
    </row>
    <row r="687" ht="12.75" customHeight="1">
      <c r="T687" s="35"/>
    </row>
    <row r="688" ht="12.75" customHeight="1">
      <c r="T688" s="35"/>
    </row>
    <row r="689" ht="12.75" customHeight="1">
      <c r="T689" s="35"/>
    </row>
    <row r="690" ht="12.75" customHeight="1">
      <c r="T690" s="35"/>
    </row>
    <row r="691" ht="12.75" customHeight="1">
      <c r="T691" s="35"/>
    </row>
    <row r="692" ht="12.75" customHeight="1">
      <c r="T692" s="35"/>
    </row>
    <row r="693" ht="12.75" customHeight="1">
      <c r="T693" s="35"/>
    </row>
    <row r="694" ht="12.75" customHeight="1">
      <c r="T694" s="35"/>
    </row>
    <row r="695" ht="12.75" customHeight="1">
      <c r="T695" s="35"/>
    </row>
    <row r="696" ht="12.75" customHeight="1">
      <c r="T696" s="35"/>
    </row>
    <row r="697" ht="12.75" customHeight="1">
      <c r="T697" s="35"/>
    </row>
    <row r="698" ht="12.75" customHeight="1">
      <c r="T698" s="35"/>
    </row>
    <row r="699" ht="12.75" customHeight="1">
      <c r="T699" s="35"/>
    </row>
    <row r="700" ht="12.75" customHeight="1">
      <c r="T700" s="35"/>
    </row>
    <row r="701" ht="12.75" customHeight="1">
      <c r="T701" s="35"/>
    </row>
    <row r="702" ht="12.75" customHeight="1">
      <c r="T702" s="35"/>
    </row>
    <row r="703" ht="12.75" customHeight="1">
      <c r="T703" s="35"/>
    </row>
    <row r="704" ht="12.75" customHeight="1">
      <c r="T704" s="35"/>
    </row>
    <row r="705" ht="12.75" customHeight="1">
      <c r="T705" s="35"/>
    </row>
    <row r="706" ht="12.75" customHeight="1">
      <c r="T706" s="35"/>
    </row>
    <row r="707" ht="12.75" customHeight="1">
      <c r="T707" s="35"/>
    </row>
    <row r="708" ht="12.75" customHeight="1">
      <c r="T708" s="35"/>
    </row>
    <row r="709" ht="12.75" customHeight="1">
      <c r="T709" s="35"/>
    </row>
    <row r="710" ht="12.75" customHeight="1">
      <c r="T710" s="35"/>
    </row>
    <row r="711" ht="12.75" customHeight="1">
      <c r="T711" s="35"/>
    </row>
    <row r="712" ht="12.75" customHeight="1">
      <c r="T712" s="35"/>
    </row>
    <row r="713" ht="12.75" customHeight="1">
      <c r="T713" s="35"/>
    </row>
    <row r="714" ht="12.75" customHeight="1">
      <c r="T714" s="35"/>
    </row>
    <row r="715" ht="12.75" customHeight="1">
      <c r="T715" s="35"/>
    </row>
    <row r="716" ht="12.75" customHeight="1">
      <c r="T716" s="35"/>
    </row>
    <row r="717" ht="12.75" customHeight="1">
      <c r="T717" s="35"/>
    </row>
    <row r="718" ht="12.75" customHeight="1">
      <c r="T718" s="35"/>
    </row>
    <row r="719" ht="12.75" customHeight="1">
      <c r="T719" s="35"/>
    </row>
    <row r="720" ht="12.75" customHeight="1">
      <c r="T720" s="35"/>
    </row>
    <row r="721" ht="12.75" customHeight="1">
      <c r="T721" s="35"/>
    </row>
    <row r="722" ht="12.75" customHeight="1">
      <c r="T722" s="35"/>
    </row>
    <row r="723" ht="12.75" customHeight="1">
      <c r="T723" s="35"/>
    </row>
    <row r="724" ht="12.75" customHeight="1">
      <c r="T724" s="35"/>
    </row>
    <row r="725" ht="12.75" customHeight="1">
      <c r="T725" s="35"/>
    </row>
    <row r="726" ht="12.75" customHeight="1">
      <c r="T726" s="35"/>
    </row>
    <row r="727" ht="12.75" customHeight="1">
      <c r="T727" s="35"/>
    </row>
    <row r="728" ht="12.75" customHeight="1">
      <c r="T728" s="35"/>
    </row>
    <row r="729" ht="12.75" customHeight="1">
      <c r="T729" s="35"/>
    </row>
    <row r="730" ht="12.75" customHeight="1">
      <c r="T730" s="35"/>
    </row>
    <row r="731" ht="12.75" customHeight="1">
      <c r="T731" s="35"/>
    </row>
    <row r="732" ht="12.75" customHeight="1">
      <c r="T732" s="35"/>
    </row>
    <row r="733" ht="12.75" customHeight="1">
      <c r="T733" s="35"/>
    </row>
    <row r="734" ht="12.75" customHeight="1">
      <c r="T734" s="35"/>
    </row>
    <row r="735" ht="12.75" customHeight="1">
      <c r="T735" s="35"/>
    </row>
    <row r="736" ht="12.75" customHeight="1">
      <c r="T736" s="35"/>
    </row>
    <row r="737" ht="12.75" customHeight="1">
      <c r="T737" s="35"/>
    </row>
    <row r="738" ht="12.75" customHeight="1">
      <c r="T738" s="35"/>
    </row>
    <row r="739" ht="12.75" customHeight="1">
      <c r="T739" s="35"/>
    </row>
    <row r="740" ht="12.75" customHeight="1">
      <c r="T740" s="35"/>
    </row>
    <row r="741" ht="12.75" customHeight="1">
      <c r="T741" s="35"/>
    </row>
    <row r="742" ht="12.75" customHeight="1">
      <c r="T742" s="35"/>
    </row>
    <row r="743" ht="12.75" customHeight="1">
      <c r="T743" s="35"/>
    </row>
    <row r="744" ht="12.75" customHeight="1">
      <c r="T744" s="35"/>
    </row>
    <row r="745" ht="12.75" customHeight="1">
      <c r="T745" s="35"/>
    </row>
    <row r="746" ht="12.75" customHeight="1">
      <c r="T746" s="35"/>
    </row>
    <row r="747" ht="12.75" customHeight="1">
      <c r="T747" s="35"/>
    </row>
    <row r="748" ht="12.75" customHeight="1">
      <c r="T748" s="35"/>
    </row>
    <row r="749" ht="12.75" customHeight="1">
      <c r="T749" s="35"/>
    </row>
    <row r="750" ht="12.75" customHeight="1">
      <c r="T750" s="35"/>
    </row>
    <row r="751" ht="12.75" customHeight="1">
      <c r="T751" s="35"/>
    </row>
    <row r="752" ht="12.75" customHeight="1">
      <c r="T752" s="35"/>
    </row>
    <row r="753" ht="12.75" customHeight="1">
      <c r="T753" s="35"/>
    </row>
    <row r="754" ht="12.75" customHeight="1">
      <c r="T754" s="35"/>
    </row>
    <row r="755" ht="12.75" customHeight="1">
      <c r="T755" s="35"/>
    </row>
    <row r="756" ht="12.75" customHeight="1">
      <c r="T756" s="35"/>
    </row>
    <row r="757" ht="12.75" customHeight="1">
      <c r="T757" s="35"/>
    </row>
    <row r="758" ht="12.75" customHeight="1">
      <c r="T758" s="35"/>
    </row>
    <row r="759" ht="12.75" customHeight="1">
      <c r="T759" s="35"/>
    </row>
    <row r="760" ht="12.75" customHeight="1">
      <c r="T760" s="35"/>
    </row>
    <row r="761" ht="12.75" customHeight="1">
      <c r="T761" s="35"/>
    </row>
    <row r="762" ht="12.75" customHeight="1">
      <c r="T762" s="35"/>
    </row>
    <row r="763" ht="12.75" customHeight="1">
      <c r="T763" s="35"/>
    </row>
    <row r="764" ht="12.75" customHeight="1">
      <c r="T764" s="35"/>
    </row>
    <row r="765" ht="12.75" customHeight="1">
      <c r="T765" s="35"/>
    </row>
    <row r="766" ht="12.75" customHeight="1">
      <c r="T766" s="35"/>
    </row>
    <row r="767" ht="12.75" customHeight="1">
      <c r="T767" s="35"/>
    </row>
    <row r="768" ht="12.75" customHeight="1">
      <c r="T768" s="35"/>
    </row>
    <row r="769" ht="12.75" customHeight="1">
      <c r="T769" s="35"/>
    </row>
    <row r="770" ht="12.75" customHeight="1">
      <c r="T770" s="35"/>
    </row>
    <row r="771" ht="12.75" customHeight="1">
      <c r="T771" s="35"/>
    </row>
    <row r="772" ht="12.75" customHeight="1">
      <c r="T772" s="35"/>
    </row>
    <row r="773" ht="12.75" customHeight="1">
      <c r="T773" s="35"/>
    </row>
    <row r="774" ht="12.75" customHeight="1">
      <c r="T774" s="35"/>
    </row>
    <row r="775" ht="12.75" customHeight="1">
      <c r="T775" s="35"/>
    </row>
    <row r="776" ht="12.75" customHeight="1">
      <c r="T776" s="35"/>
    </row>
    <row r="777" ht="12.75" customHeight="1">
      <c r="T777" s="35"/>
    </row>
    <row r="778" ht="12.75" customHeight="1">
      <c r="T778" s="35"/>
    </row>
    <row r="779" ht="12.75" customHeight="1">
      <c r="T779" s="35"/>
    </row>
    <row r="780" ht="12.75" customHeight="1">
      <c r="T780" s="35"/>
    </row>
    <row r="781" ht="12.75" customHeight="1">
      <c r="T781" s="35"/>
    </row>
    <row r="782" ht="12.75" customHeight="1">
      <c r="T782" s="35"/>
    </row>
    <row r="783" ht="12.75" customHeight="1">
      <c r="T783" s="35"/>
    </row>
    <row r="784" ht="12.75" customHeight="1">
      <c r="T784" s="35"/>
    </row>
    <row r="785" ht="12.75" customHeight="1">
      <c r="T785" s="35"/>
    </row>
    <row r="786" ht="12.75" customHeight="1">
      <c r="T786" s="35"/>
    </row>
    <row r="787" ht="12.75" customHeight="1">
      <c r="T787" s="35"/>
    </row>
    <row r="788" ht="12.75" customHeight="1">
      <c r="T788" s="35"/>
    </row>
    <row r="789" ht="12.75" customHeight="1">
      <c r="T789" s="35"/>
    </row>
    <row r="790" ht="12.75" customHeight="1">
      <c r="T790" s="35"/>
    </row>
    <row r="791" ht="12.75" customHeight="1">
      <c r="T791" s="35"/>
    </row>
    <row r="792" ht="12.75" customHeight="1">
      <c r="T792" s="35"/>
    </row>
    <row r="793" ht="12.75" customHeight="1">
      <c r="T793" s="35"/>
    </row>
    <row r="794" ht="12.75" customHeight="1">
      <c r="T794" s="35"/>
    </row>
    <row r="795" ht="12.75" customHeight="1">
      <c r="T795" s="35"/>
    </row>
    <row r="796" ht="12.75" customHeight="1">
      <c r="T796" s="35"/>
    </row>
    <row r="797" ht="12.75" customHeight="1">
      <c r="T797" s="35"/>
    </row>
    <row r="798" ht="12.75" customHeight="1">
      <c r="T798" s="35"/>
    </row>
    <row r="799" ht="12.75" customHeight="1">
      <c r="T799" s="35"/>
    </row>
    <row r="800" ht="12.75" customHeight="1">
      <c r="T800" s="35"/>
    </row>
    <row r="801" ht="12.75" customHeight="1">
      <c r="T801" s="35"/>
    </row>
    <row r="802" ht="12.75" customHeight="1">
      <c r="T802" s="35"/>
    </row>
    <row r="803" ht="12.75" customHeight="1">
      <c r="T803" s="35"/>
    </row>
    <row r="804" ht="12.75" customHeight="1">
      <c r="T804" s="35"/>
    </row>
    <row r="805" ht="12.75" customHeight="1">
      <c r="T805" s="35"/>
    </row>
    <row r="806" ht="12.75" customHeight="1">
      <c r="T806" s="35"/>
    </row>
    <row r="807" ht="12.75" customHeight="1">
      <c r="T807" s="35"/>
    </row>
    <row r="808" ht="12.75" customHeight="1">
      <c r="T808" s="35"/>
    </row>
    <row r="809" ht="12.75" customHeight="1">
      <c r="T809" s="35"/>
    </row>
    <row r="810" ht="12.75" customHeight="1">
      <c r="T810" s="35"/>
    </row>
    <row r="811" ht="12.75" customHeight="1">
      <c r="T811" s="35"/>
    </row>
    <row r="812" ht="12.75" customHeight="1">
      <c r="T812" s="35"/>
    </row>
    <row r="813" ht="12.75" customHeight="1">
      <c r="T813" s="35"/>
    </row>
    <row r="814" ht="12.75" customHeight="1">
      <c r="T814" s="35"/>
    </row>
    <row r="815" ht="12.75" customHeight="1">
      <c r="T815" s="35"/>
    </row>
    <row r="816" ht="12.75" customHeight="1">
      <c r="T816" s="35"/>
    </row>
    <row r="817" ht="12.75" customHeight="1">
      <c r="T817" s="35"/>
    </row>
    <row r="818" ht="12.75" customHeight="1">
      <c r="T818" s="35"/>
    </row>
    <row r="819" ht="12.75" customHeight="1">
      <c r="T819" s="35"/>
    </row>
    <row r="820" ht="12.75" customHeight="1">
      <c r="T820" s="35"/>
    </row>
    <row r="821" ht="12.75" customHeight="1">
      <c r="T821" s="35"/>
    </row>
    <row r="822" ht="12.75" customHeight="1">
      <c r="T822" s="35"/>
    </row>
    <row r="823" ht="12.75" customHeight="1">
      <c r="T823" s="35"/>
    </row>
    <row r="824" ht="12.75" customHeight="1">
      <c r="T824" s="35"/>
    </row>
    <row r="825" ht="12.75" customHeight="1">
      <c r="T825" s="35"/>
    </row>
    <row r="826" ht="12.75" customHeight="1">
      <c r="T826" s="35"/>
    </row>
    <row r="827" ht="12.75" customHeight="1">
      <c r="T827" s="35"/>
    </row>
    <row r="828" ht="12.75" customHeight="1">
      <c r="T828" s="35"/>
    </row>
    <row r="829" ht="12.75" customHeight="1">
      <c r="T829" s="35"/>
    </row>
    <row r="830" ht="12.75" customHeight="1">
      <c r="T830" s="35"/>
    </row>
    <row r="831" ht="12.75" customHeight="1">
      <c r="T831" s="35"/>
    </row>
    <row r="832" ht="12.75" customHeight="1">
      <c r="T832" s="35"/>
    </row>
    <row r="833" ht="12.75" customHeight="1">
      <c r="T833" s="35"/>
    </row>
    <row r="834" ht="12.75" customHeight="1">
      <c r="T834" s="35"/>
    </row>
    <row r="835" ht="12.75" customHeight="1">
      <c r="T835" s="35"/>
    </row>
    <row r="836" ht="12.75" customHeight="1">
      <c r="T836" s="35"/>
    </row>
    <row r="837" ht="12.75" customHeight="1">
      <c r="T837" s="35"/>
    </row>
    <row r="838" ht="12.75" customHeight="1">
      <c r="T838" s="35"/>
    </row>
    <row r="839" ht="12.75" customHeight="1">
      <c r="T839" s="35"/>
    </row>
    <row r="840" ht="12.75" customHeight="1">
      <c r="T840" s="35"/>
    </row>
    <row r="841" ht="12.75" customHeight="1">
      <c r="T841" s="35"/>
    </row>
    <row r="842" ht="12.75" customHeight="1">
      <c r="T842" s="35"/>
    </row>
    <row r="843" ht="12.75" customHeight="1">
      <c r="T843" s="35"/>
    </row>
    <row r="844" ht="12.75" customHeight="1">
      <c r="T844" s="35"/>
    </row>
    <row r="845" ht="12.75" customHeight="1">
      <c r="T845" s="35"/>
    </row>
    <row r="846" ht="12.75" customHeight="1">
      <c r="T846" s="35"/>
    </row>
    <row r="847" ht="12.75" customHeight="1">
      <c r="T847" s="35"/>
    </row>
    <row r="848" ht="12.75" customHeight="1">
      <c r="T848" s="35"/>
    </row>
    <row r="849" ht="12.75" customHeight="1">
      <c r="T849" s="35"/>
    </row>
    <row r="850" ht="12.75" customHeight="1">
      <c r="T850" s="35"/>
    </row>
    <row r="851" ht="12.75" customHeight="1">
      <c r="T851" s="35"/>
    </row>
    <row r="852" ht="12.75" customHeight="1">
      <c r="T852" s="35"/>
    </row>
    <row r="853" ht="12.75" customHeight="1">
      <c r="T853" s="35"/>
    </row>
    <row r="854" ht="12.75" customHeight="1">
      <c r="T854" s="35"/>
    </row>
    <row r="855" ht="12.75" customHeight="1">
      <c r="T855" s="35"/>
    </row>
    <row r="856" ht="12.75" customHeight="1">
      <c r="T856" s="35"/>
    </row>
    <row r="857" ht="12.75" customHeight="1">
      <c r="T857" s="35"/>
    </row>
    <row r="858" ht="12.75" customHeight="1">
      <c r="T858" s="35"/>
    </row>
    <row r="859" ht="12.75" customHeight="1">
      <c r="T859" s="35"/>
    </row>
    <row r="860" ht="12.75" customHeight="1">
      <c r="T860" s="35"/>
    </row>
    <row r="861" ht="12.75" customHeight="1">
      <c r="T861" s="35"/>
    </row>
    <row r="862" ht="12.75" customHeight="1">
      <c r="T862" s="35"/>
    </row>
    <row r="863" ht="12.75" customHeight="1">
      <c r="T863" s="35"/>
    </row>
    <row r="864" ht="12.75" customHeight="1">
      <c r="T864" s="35"/>
    </row>
    <row r="865" ht="12.75" customHeight="1">
      <c r="T865" s="35"/>
    </row>
    <row r="866" ht="12.75" customHeight="1">
      <c r="T866" s="35"/>
    </row>
    <row r="867" ht="12.75" customHeight="1">
      <c r="T867" s="35"/>
    </row>
    <row r="868" ht="12.75" customHeight="1">
      <c r="T868" s="35"/>
    </row>
    <row r="869" ht="12.75" customHeight="1">
      <c r="T869" s="35"/>
    </row>
    <row r="870" ht="12.75" customHeight="1">
      <c r="T870" s="35"/>
    </row>
    <row r="871" ht="12.75" customHeight="1">
      <c r="T871" s="35"/>
    </row>
    <row r="872" ht="12.75" customHeight="1">
      <c r="T872" s="35"/>
    </row>
    <row r="873" ht="12.75" customHeight="1">
      <c r="T873" s="35"/>
    </row>
    <row r="874" ht="12.75" customHeight="1">
      <c r="T874" s="35"/>
    </row>
    <row r="875" ht="12.75" customHeight="1">
      <c r="T875" s="35"/>
    </row>
    <row r="876" ht="12.75" customHeight="1">
      <c r="T876" s="35"/>
    </row>
    <row r="877" ht="12.75" customHeight="1">
      <c r="T877" s="35"/>
    </row>
    <row r="878" ht="12.75" customHeight="1">
      <c r="T878" s="35"/>
    </row>
    <row r="879" ht="12.75" customHeight="1">
      <c r="T879" s="35"/>
    </row>
    <row r="880" ht="12.75" customHeight="1">
      <c r="T880" s="35"/>
    </row>
    <row r="881" ht="12.75" customHeight="1">
      <c r="T881" s="35"/>
    </row>
    <row r="882" ht="12.75" customHeight="1">
      <c r="T882" s="35"/>
    </row>
    <row r="883" ht="12.75" customHeight="1">
      <c r="T883" s="35"/>
    </row>
    <row r="884" ht="12.75" customHeight="1">
      <c r="T884" s="35"/>
    </row>
    <row r="885" ht="12.75" customHeight="1">
      <c r="T885" s="35"/>
    </row>
    <row r="886" ht="12.75" customHeight="1">
      <c r="T886" s="35"/>
    </row>
    <row r="887" ht="12.75" customHeight="1">
      <c r="T887" s="35"/>
    </row>
    <row r="888" ht="12.75" customHeight="1">
      <c r="T888" s="35"/>
    </row>
    <row r="889" ht="12.75" customHeight="1">
      <c r="T889" s="35"/>
    </row>
    <row r="890" ht="12.75" customHeight="1">
      <c r="T890" s="35"/>
    </row>
    <row r="891" ht="12.75" customHeight="1">
      <c r="T891" s="35"/>
    </row>
    <row r="892" ht="12.75" customHeight="1">
      <c r="T892" s="35"/>
    </row>
    <row r="893" ht="12.75" customHeight="1">
      <c r="T893" s="35"/>
    </row>
    <row r="894" ht="12.75" customHeight="1">
      <c r="T894" s="35"/>
    </row>
    <row r="895" ht="12.75" customHeight="1">
      <c r="T895" s="35"/>
    </row>
    <row r="896" ht="12.75" customHeight="1">
      <c r="T896" s="35"/>
    </row>
    <row r="897" ht="12.75" customHeight="1">
      <c r="T897" s="35"/>
    </row>
    <row r="898" ht="12.75" customHeight="1">
      <c r="T898" s="35"/>
    </row>
    <row r="899" ht="12.75" customHeight="1">
      <c r="T899" s="35"/>
    </row>
    <row r="900" ht="12.75" customHeight="1">
      <c r="T900" s="35"/>
    </row>
    <row r="901" ht="12.75" customHeight="1">
      <c r="T901" s="35"/>
    </row>
    <row r="902" ht="12.75" customHeight="1">
      <c r="T902" s="35"/>
    </row>
    <row r="903" ht="12.75" customHeight="1">
      <c r="T903" s="35"/>
    </row>
    <row r="904" ht="12.75" customHeight="1">
      <c r="T904" s="35"/>
    </row>
    <row r="905" ht="12.75" customHeight="1">
      <c r="T905" s="35"/>
    </row>
    <row r="906" ht="12.75" customHeight="1">
      <c r="T906" s="35"/>
    </row>
    <row r="907" ht="12.75" customHeight="1">
      <c r="T907" s="35"/>
    </row>
    <row r="908" ht="12.75" customHeight="1">
      <c r="T908" s="35"/>
    </row>
    <row r="909" ht="12.75" customHeight="1">
      <c r="T909" s="35"/>
    </row>
    <row r="910" ht="12.75" customHeight="1">
      <c r="T910" s="35"/>
    </row>
    <row r="911" ht="12.75" customHeight="1">
      <c r="T911" s="35"/>
    </row>
    <row r="912" ht="12.75" customHeight="1">
      <c r="T912" s="35"/>
    </row>
    <row r="913" ht="12.75" customHeight="1">
      <c r="T913" s="35"/>
    </row>
    <row r="914" ht="12.75" customHeight="1">
      <c r="T914" s="35"/>
    </row>
    <row r="915" ht="12.75" customHeight="1">
      <c r="T915" s="35"/>
    </row>
    <row r="916" ht="12.75" customHeight="1">
      <c r="T916" s="35"/>
    </row>
    <row r="917" ht="12.75" customHeight="1">
      <c r="T917" s="35"/>
    </row>
    <row r="918" ht="12.75" customHeight="1">
      <c r="T918" s="35"/>
    </row>
    <row r="919" ht="12.75" customHeight="1">
      <c r="T919" s="35"/>
    </row>
    <row r="920" ht="12.75" customHeight="1">
      <c r="T920" s="35"/>
    </row>
    <row r="921" ht="12.75" customHeight="1">
      <c r="T921" s="35"/>
    </row>
    <row r="922" ht="12.75" customHeight="1">
      <c r="T922" s="35"/>
    </row>
    <row r="923" ht="12.75" customHeight="1">
      <c r="T923" s="35"/>
    </row>
    <row r="924" ht="12.75" customHeight="1">
      <c r="T924" s="35"/>
    </row>
    <row r="925" ht="12.75" customHeight="1">
      <c r="T925" s="35"/>
    </row>
    <row r="926" ht="12.75" customHeight="1">
      <c r="T926" s="35"/>
    </row>
    <row r="927" ht="12.75" customHeight="1">
      <c r="T927" s="35"/>
    </row>
    <row r="928" ht="12.75" customHeight="1">
      <c r="T928" s="35"/>
    </row>
    <row r="929" ht="12.75" customHeight="1">
      <c r="T929" s="35"/>
    </row>
    <row r="930" ht="12.75" customHeight="1">
      <c r="T930" s="35"/>
    </row>
    <row r="931" ht="12.75" customHeight="1">
      <c r="T931" s="35"/>
    </row>
    <row r="932" ht="12.75" customHeight="1">
      <c r="T932" s="35"/>
    </row>
    <row r="933" ht="12.75" customHeight="1">
      <c r="T933" s="35"/>
    </row>
    <row r="934" ht="12.75" customHeight="1">
      <c r="T934" s="35"/>
    </row>
    <row r="935" ht="12.75" customHeight="1">
      <c r="T935" s="35"/>
    </row>
    <row r="936" ht="12.75" customHeight="1">
      <c r="T936" s="35"/>
    </row>
    <row r="937" ht="12.75" customHeight="1">
      <c r="T937" s="35"/>
    </row>
    <row r="938" ht="12.75" customHeight="1">
      <c r="T938" s="35"/>
    </row>
    <row r="939" ht="12.75" customHeight="1">
      <c r="T939" s="35"/>
    </row>
    <row r="940" ht="12.75" customHeight="1">
      <c r="T940" s="35"/>
    </row>
    <row r="941" ht="12.75" customHeight="1">
      <c r="T941" s="35"/>
    </row>
    <row r="942" ht="12.75" customHeight="1">
      <c r="T942" s="35"/>
    </row>
    <row r="943" ht="12.75" customHeight="1">
      <c r="T943" s="35"/>
    </row>
    <row r="944" ht="12.75" customHeight="1">
      <c r="T944" s="35"/>
    </row>
    <row r="945" ht="12.75" customHeight="1">
      <c r="T945" s="35"/>
    </row>
    <row r="946" ht="12.75" customHeight="1">
      <c r="T946" s="35"/>
    </row>
    <row r="947" ht="12.75" customHeight="1">
      <c r="T947" s="35"/>
    </row>
    <row r="948" ht="12.75" customHeight="1">
      <c r="T948" s="35"/>
    </row>
    <row r="949" ht="12.75" customHeight="1">
      <c r="T949" s="35"/>
    </row>
    <row r="950" ht="12.75" customHeight="1">
      <c r="T950" s="35"/>
    </row>
    <row r="951" ht="12.75" customHeight="1">
      <c r="T951" s="35"/>
    </row>
    <row r="952" ht="12.75" customHeight="1">
      <c r="T952" s="35"/>
    </row>
    <row r="953" ht="12.75" customHeight="1">
      <c r="T953" s="35"/>
    </row>
    <row r="954" ht="12.75" customHeight="1">
      <c r="T954" s="35"/>
    </row>
    <row r="955" ht="12.75" customHeight="1">
      <c r="T955" s="35"/>
    </row>
    <row r="956" ht="12.75" customHeight="1">
      <c r="T956" s="35"/>
    </row>
    <row r="957" ht="12.75" customHeight="1">
      <c r="T957" s="35"/>
    </row>
    <row r="958" ht="12.75" customHeight="1">
      <c r="T958" s="35"/>
    </row>
    <row r="959" ht="12.75" customHeight="1">
      <c r="T959" s="35"/>
    </row>
    <row r="960" ht="12.75" customHeight="1">
      <c r="T960" s="35"/>
    </row>
    <row r="961" ht="12.75" customHeight="1">
      <c r="T961" s="35"/>
    </row>
    <row r="962" ht="12.75" customHeight="1">
      <c r="T962" s="35"/>
    </row>
    <row r="963" ht="12.75" customHeight="1">
      <c r="T963" s="35"/>
    </row>
    <row r="964" ht="12.75" customHeight="1">
      <c r="T964" s="35"/>
    </row>
    <row r="965" ht="12.75" customHeight="1">
      <c r="T965" s="35"/>
    </row>
    <row r="966" ht="12.75" customHeight="1">
      <c r="T966" s="35"/>
    </row>
    <row r="967" ht="12.75" customHeight="1">
      <c r="T967" s="35"/>
    </row>
    <row r="968" ht="12.75" customHeight="1">
      <c r="T968" s="35"/>
    </row>
    <row r="969" ht="12.75" customHeight="1">
      <c r="T969" s="35"/>
    </row>
    <row r="970" ht="12.75" customHeight="1">
      <c r="T970" s="35"/>
    </row>
    <row r="971" ht="12.75" customHeight="1">
      <c r="T971" s="35"/>
    </row>
    <row r="972" ht="12.75" customHeight="1">
      <c r="T972" s="35"/>
    </row>
    <row r="973" ht="12.75" customHeight="1">
      <c r="T973" s="35"/>
    </row>
    <row r="974" ht="12.75" customHeight="1">
      <c r="T974" s="35"/>
    </row>
    <row r="975" ht="12.75" customHeight="1">
      <c r="T975" s="35"/>
    </row>
    <row r="976" ht="12.75" customHeight="1">
      <c r="T976" s="35"/>
    </row>
    <row r="977" ht="12.75" customHeight="1">
      <c r="T977" s="35"/>
    </row>
    <row r="978" ht="12.75" customHeight="1">
      <c r="T978" s="35"/>
    </row>
    <row r="979" ht="12.75" customHeight="1">
      <c r="T979" s="35"/>
    </row>
    <row r="980" ht="12.75" customHeight="1">
      <c r="T980" s="35"/>
    </row>
    <row r="981" ht="12.75" customHeight="1">
      <c r="T981" s="35"/>
    </row>
    <row r="982" ht="12.75" customHeight="1">
      <c r="T982" s="35"/>
    </row>
    <row r="983" ht="12.75" customHeight="1">
      <c r="T983" s="35"/>
    </row>
    <row r="984" ht="12.75" customHeight="1">
      <c r="T984" s="35"/>
    </row>
    <row r="985" ht="12.75" customHeight="1">
      <c r="T985" s="35"/>
    </row>
    <row r="986" ht="12.75" customHeight="1">
      <c r="T986" s="35"/>
    </row>
    <row r="987" ht="12.75" customHeight="1">
      <c r="T987" s="35"/>
    </row>
    <row r="988" ht="12.75" customHeight="1">
      <c r="T988" s="35"/>
    </row>
    <row r="989" ht="12.75" customHeight="1">
      <c r="T989" s="35"/>
    </row>
    <row r="990" ht="12.75" customHeight="1">
      <c r="T990" s="35"/>
    </row>
    <row r="991" ht="12.75" customHeight="1">
      <c r="T991" s="35"/>
    </row>
    <row r="992" ht="12.75" customHeight="1">
      <c r="T992" s="35"/>
    </row>
    <row r="993" ht="12.75" customHeight="1">
      <c r="T993" s="35"/>
    </row>
    <row r="994" ht="12.75" customHeight="1">
      <c r="T994" s="35"/>
    </row>
    <row r="995" ht="12.75" customHeight="1">
      <c r="T995" s="35"/>
    </row>
    <row r="996" ht="12.75" customHeight="1">
      <c r="T996" s="35"/>
    </row>
    <row r="997" ht="12.75" customHeight="1">
      <c r="T997" s="35"/>
    </row>
  </sheetData>
  <printOptions horizontalCentered="1"/>
  <pageMargins bottom="0.5" footer="0.0" header="0.0" left="0.2" right="0.2" top="0.5"/>
  <pageSetup paperSize="9" scale="85" orientation="landscape"/>
  <headerFooter>
    <oddFooter>&amp;CSourcewise Page &amp;P of </oddFooter>
  </headerFooter>
  <drawing r:id="rId1"/>
</worksheet>
</file>